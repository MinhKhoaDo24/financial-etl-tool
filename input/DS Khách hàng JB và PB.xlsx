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BSV\Moudle 1 Workflow\Supabase\input\"/>
    </mc:Choice>
  </mc:AlternateContent>
  <xr:revisionPtr revIDLastSave="0" documentId="13_ncr:1_{17706B4E-98DA-492F-87CA-0D661A564D17}" xr6:coauthVersionLast="47" xr6:coauthVersionMax="47" xr10:uidLastSave="{00000000-0000-0000-0000-000000000000}"/>
  <bookViews>
    <workbookView xWindow="-120" yWindow="-120" windowWidth="29040" windowHeight="15720" xr2:uid="{EBDF1E70-7FB8-48E7-B3A6-688C814109D4}"/>
  </bookViews>
  <sheets>
    <sheet name="DS Khach hang PBSV" sheetId="5" r:id="rId1"/>
    <sheet name="DS Khách hàng JB" sheetId="6" r:id="rId2"/>
    <sheet name="Tổng hợp" sheetId="10" r:id="rId3"/>
    <sheet name="DEAL (2)" sheetId="11" r:id="rId4"/>
    <sheet name="RETAIL (2)" sheetId="12" r:id="rId5"/>
    <sheet name="Table 1" sheetId="14" r:id="rId6"/>
  </sheets>
  <definedNames>
    <definedName name="ExternalData_1" localSheetId="3" hidden="1">'DEAL (2)'!$A$1:$G$52</definedName>
    <definedName name="ExternalData_1" localSheetId="1" hidden="1">'DS Khách hàng JB'!$A$1:$G$32</definedName>
    <definedName name="ExternalData_1" localSheetId="0" hidden="1">'DS Khach hang PBSV'!$A$1:$C$841</definedName>
    <definedName name="ExternalData_1" localSheetId="4" hidden="1">'RETAIL (2)'!$A$1:$F$317</definedName>
    <definedName name="ExternalData_1" localSheetId="5" hidden="1">'Table 1'!$A$1:$G$366</definedName>
    <definedName name="ExternalData_1" localSheetId="2" hidden="1">'Tổng hợp'!$A$1:$F$735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68" i="5" l="1"/>
  <c r="F469" i="5"/>
  <c r="F202" i="5"/>
  <c r="F203" i="5"/>
  <c r="F684" i="5"/>
  <c r="F685" i="5"/>
  <c r="F578" i="5"/>
  <c r="F579" i="5"/>
  <c r="F470" i="5"/>
  <c r="F471" i="5"/>
  <c r="F382" i="5"/>
  <c r="F383" i="5"/>
  <c r="F558" i="5"/>
  <c r="F559" i="5"/>
  <c r="F672" i="5"/>
  <c r="F673" i="5"/>
  <c r="F676" i="5"/>
  <c r="F677" i="5"/>
  <c r="F600" i="5"/>
  <c r="F601" i="5"/>
  <c r="F562" i="5"/>
  <c r="F563" i="5"/>
  <c r="F566" i="5"/>
  <c r="F567" i="5"/>
  <c r="F254" i="5"/>
  <c r="F255" i="5"/>
  <c r="F614" i="5"/>
  <c r="F615" i="5"/>
  <c r="F554" i="5"/>
  <c r="F555" i="5"/>
  <c r="F606" i="5"/>
  <c r="F607" i="5"/>
  <c r="F610" i="5"/>
  <c r="F611" i="5"/>
  <c r="F590" i="5"/>
  <c r="F591" i="5"/>
  <c r="F534" i="5"/>
  <c r="F535" i="5"/>
  <c r="F376" i="5"/>
  <c r="F377" i="5"/>
  <c r="F664" i="5"/>
  <c r="F665" i="5"/>
  <c r="F182" i="5"/>
  <c r="F183" i="5"/>
  <c r="F692" i="5"/>
  <c r="F693" i="5"/>
  <c r="F630" i="5"/>
  <c r="F631" i="5"/>
  <c r="F568" i="5"/>
  <c r="F569" i="5"/>
  <c r="F380" i="5"/>
  <c r="F381" i="5"/>
  <c r="F404" i="5"/>
  <c r="F405" i="5"/>
  <c r="F602" i="5"/>
  <c r="F603" i="5"/>
  <c r="F198" i="5"/>
  <c r="F199" i="5"/>
  <c r="F536" i="5"/>
  <c r="F537" i="5"/>
  <c r="F172" i="5"/>
  <c r="F173" i="5"/>
  <c r="F168" i="5"/>
  <c r="F169" i="5"/>
  <c r="F654" i="5"/>
  <c r="F655" i="5"/>
  <c r="F636" i="5"/>
  <c r="F637" i="5"/>
  <c r="F544" i="5"/>
  <c r="F545" i="5"/>
  <c r="F666" i="5"/>
  <c r="F667" i="5"/>
  <c r="F682" i="5"/>
  <c r="F683" i="5"/>
  <c r="F264" i="5"/>
  <c r="F265" i="5"/>
  <c r="F476" i="5"/>
  <c r="F477" i="5"/>
  <c r="F538" i="5"/>
  <c r="F539" i="5"/>
  <c r="F410" i="5"/>
  <c r="F411" i="5"/>
  <c r="F484" i="5"/>
  <c r="F485" i="5"/>
  <c r="F548" i="5"/>
  <c r="F549" i="5"/>
  <c r="F670" i="5"/>
  <c r="F671" i="5"/>
  <c r="F474" i="5"/>
  <c r="F475" i="5"/>
  <c r="F674" i="5"/>
  <c r="F675" i="5"/>
  <c r="F560" i="5"/>
  <c r="F561" i="5"/>
  <c r="F596" i="5"/>
  <c r="F597" i="5"/>
  <c r="F472" i="5"/>
  <c r="F473" i="5"/>
  <c r="F444" i="5"/>
  <c r="F445" i="5"/>
  <c r="F594" i="5"/>
  <c r="F595" i="5"/>
  <c r="F604" i="5"/>
  <c r="F605" i="5"/>
  <c r="F408" i="5"/>
  <c r="F409" i="5"/>
  <c r="F482" i="5"/>
  <c r="F483" i="5"/>
  <c r="F582" i="5"/>
  <c r="F583" i="5"/>
  <c r="F688" i="5"/>
  <c r="F689" i="5"/>
  <c r="F574" i="5"/>
  <c r="F575" i="5"/>
  <c r="F618" i="5"/>
  <c r="F619" i="5"/>
  <c r="F564" i="5"/>
  <c r="F565" i="5"/>
  <c r="F374" i="5"/>
  <c r="F375" i="5"/>
  <c r="F270" i="5"/>
  <c r="F271" i="5"/>
  <c r="F268" i="5"/>
  <c r="F269" i="5"/>
  <c r="F668" i="5"/>
  <c r="F669" i="5"/>
  <c r="F624" i="5"/>
  <c r="F625" i="5"/>
  <c r="F200" i="5"/>
  <c r="F201" i="5"/>
  <c r="F486" i="5"/>
  <c r="F487" i="5"/>
  <c r="F652" i="5"/>
  <c r="F653" i="5"/>
  <c r="F656" i="5"/>
  <c r="F657" i="5"/>
  <c r="F660" i="5"/>
  <c r="F661" i="5"/>
  <c r="F678" i="5"/>
  <c r="F679" i="5"/>
  <c r="F530" i="5"/>
  <c r="F531" i="5"/>
  <c r="F392" i="5"/>
  <c r="F393" i="5"/>
  <c r="F680" i="5"/>
  <c r="F681" i="5"/>
  <c r="F178" i="5"/>
  <c r="F179" i="5"/>
  <c r="F608" i="5"/>
  <c r="F609" i="5"/>
  <c r="F446" i="5"/>
  <c r="F447" i="5"/>
  <c r="F598" i="5"/>
  <c r="F599" i="5"/>
  <c r="F166" i="5"/>
  <c r="F167" i="5"/>
  <c r="F528" i="5"/>
  <c r="F529" i="5"/>
  <c r="F266" i="5"/>
  <c r="F267" i="5"/>
  <c r="F658" i="5"/>
  <c r="F659" i="5"/>
  <c r="F612" i="5"/>
  <c r="F613" i="5"/>
  <c r="F576" i="5"/>
  <c r="F577" i="5"/>
  <c r="F426" i="5"/>
  <c r="F427" i="5"/>
  <c r="F584" i="5"/>
  <c r="F585" i="5"/>
  <c r="F572" i="5"/>
  <c r="F573" i="5"/>
  <c r="F174" i="5"/>
  <c r="F175" i="5"/>
  <c r="F542" i="5"/>
  <c r="F543" i="5"/>
  <c r="F552" i="5"/>
  <c r="F553" i="5"/>
  <c r="F782" i="5"/>
  <c r="F783" i="5"/>
  <c r="F540" i="5"/>
  <c r="F541" i="5"/>
  <c r="F454" i="5"/>
  <c r="F455" i="5"/>
  <c r="F176" i="5"/>
  <c r="F177" i="5"/>
  <c r="F632" i="5"/>
  <c r="F633" i="5"/>
  <c r="F586" i="5"/>
  <c r="F587" i="5"/>
  <c r="F478" i="5"/>
  <c r="F479" i="5"/>
  <c r="F532" i="5"/>
  <c r="F533" i="5"/>
  <c r="F546" i="5"/>
  <c r="F547" i="5"/>
  <c r="F272" i="5"/>
  <c r="F273" i="5"/>
  <c r="F390" i="5"/>
  <c r="F391" i="5"/>
  <c r="F384" i="5"/>
  <c r="F385" i="5"/>
  <c r="F638" i="5"/>
  <c r="F639" i="5"/>
  <c r="F480" i="5"/>
  <c r="F481" i="5"/>
  <c r="F180" i="5"/>
  <c r="F181" i="5"/>
  <c r="F592" i="5"/>
  <c r="F593" i="5"/>
  <c r="F620" i="5"/>
  <c r="F621" i="5"/>
  <c r="F634" i="5"/>
  <c r="F635" i="5"/>
  <c r="F378" i="5"/>
  <c r="F379" i="5"/>
  <c r="F640" i="5"/>
  <c r="F641" i="5"/>
  <c r="F406" i="5"/>
  <c r="F407" i="5"/>
  <c r="F386" i="5"/>
  <c r="F387" i="5"/>
  <c r="F258" i="5"/>
  <c r="F259" i="5"/>
  <c r="F428" i="5"/>
  <c r="F429" i="5"/>
  <c r="F416" i="5"/>
  <c r="F417" i="5"/>
  <c r="F588" i="5"/>
  <c r="F589" i="5"/>
  <c r="F780" i="5"/>
  <c r="F781" i="5"/>
  <c r="F388" i="5"/>
  <c r="F389" i="5"/>
  <c r="F192" i="5"/>
  <c r="F193" i="5"/>
  <c r="F550" i="5"/>
  <c r="F551" i="5"/>
  <c r="F642" i="5"/>
  <c r="F643" i="5"/>
  <c r="F556" i="5"/>
  <c r="F557" i="5"/>
  <c r="F690" i="5"/>
  <c r="F691" i="5"/>
  <c r="F580" i="5"/>
  <c r="F581" i="5"/>
  <c r="F616" i="5"/>
  <c r="F617" i="5"/>
  <c r="F840" i="5"/>
  <c r="F841" i="5"/>
  <c r="F622" i="5"/>
  <c r="F623" i="5"/>
  <c r="F570" i="5"/>
  <c r="F571" i="5"/>
  <c r="F526" i="5"/>
  <c r="F527" i="5"/>
  <c r="F650" i="5"/>
  <c r="F651" i="5"/>
  <c r="F646" i="5"/>
  <c r="F647" i="5"/>
  <c r="F648" i="5"/>
  <c r="F649" i="5"/>
  <c r="F686" i="5"/>
  <c r="F687" i="5"/>
  <c r="F662" i="5"/>
  <c r="F663" i="5"/>
  <c r="F644" i="5"/>
  <c r="F645" i="5"/>
  <c r="F694" i="5"/>
  <c r="F695" i="5"/>
  <c r="F696" i="5"/>
  <c r="F697" i="5"/>
  <c r="F698" i="5"/>
  <c r="F699" i="5"/>
  <c r="F700" i="5"/>
  <c r="F701" i="5"/>
  <c r="F520" i="5"/>
  <c r="F521" i="5"/>
  <c r="F518" i="5"/>
  <c r="F519" i="5"/>
  <c r="F516" i="5"/>
  <c r="F517" i="5"/>
  <c r="F492" i="5"/>
  <c r="F493" i="5"/>
  <c r="F490" i="5"/>
  <c r="F491" i="5"/>
  <c r="F628" i="5"/>
  <c r="F629" i="5"/>
  <c r="F494" i="5"/>
  <c r="F495" i="5"/>
  <c r="F488" i="5"/>
  <c r="F489" i="5"/>
  <c r="F626" i="5"/>
  <c r="F627" i="5"/>
  <c r="F522" i="5"/>
  <c r="F523" i="5"/>
  <c r="F412" i="5"/>
  <c r="F413" i="5"/>
  <c r="F262" i="5"/>
  <c r="F263" i="5"/>
  <c r="E468" i="5"/>
  <c r="E469" i="5"/>
  <c r="E202" i="5"/>
  <c r="E203" i="5"/>
  <c r="E684" i="5"/>
  <c r="E685" i="5"/>
  <c r="E578" i="5"/>
  <c r="E579" i="5"/>
  <c r="E470" i="5"/>
  <c r="E471" i="5"/>
  <c r="E382" i="5"/>
  <c r="E383" i="5"/>
  <c r="E558" i="5"/>
  <c r="E559" i="5"/>
  <c r="E672" i="5"/>
  <c r="E673" i="5"/>
  <c r="E676" i="5"/>
  <c r="E677" i="5"/>
  <c r="E600" i="5"/>
  <c r="E601" i="5"/>
  <c r="E562" i="5"/>
  <c r="E563" i="5"/>
  <c r="E566" i="5"/>
  <c r="E567" i="5"/>
  <c r="E254" i="5"/>
  <c r="E255" i="5"/>
  <c r="E614" i="5"/>
  <c r="E615" i="5"/>
  <c r="E554" i="5"/>
  <c r="E555" i="5"/>
  <c r="E606" i="5"/>
  <c r="E607" i="5"/>
  <c r="E610" i="5"/>
  <c r="E611" i="5"/>
  <c r="E590" i="5"/>
  <c r="E591" i="5"/>
  <c r="E534" i="5"/>
  <c r="E535" i="5"/>
  <c r="E376" i="5"/>
  <c r="E377" i="5"/>
  <c r="E664" i="5"/>
  <c r="E665" i="5"/>
  <c r="E182" i="5"/>
  <c r="E183" i="5"/>
  <c r="E692" i="5"/>
  <c r="E693" i="5"/>
  <c r="E630" i="5"/>
  <c r="E631" i="5"/>
  <c r="E568" i="5"/>
  <c r="E569" i="5"/>
  <c r="E380" i="5"/>
  <c r="E381" i="5"/>
  <c r="E404" i="5"/>
  <c r="E405" i="5"/>
  <c r="E602" i="5"/>
  <c r="E603" i="5"/>
  <c r="E198" i="5"/>
  <c r="E199" i="5"/>
  <c r="E536" i="5"/>
  <c r="E537" i="5"/>
  <c r="E172" i="5"/>
  <c r="E173" i="5"/>
  <c r="E168" i="5"/>
  <c r="E169" i="5"/>
  <c r="E654" i="5"/>
  <c r="E655" i="5"/>
  <c r="E636" i="5"/>
  <c r="E637" i="5"/>
  <c r="E544" i="5"/>
  <c r="E545" i="5"/>
  <c r="E666" i="5"/>
  <c r="E667" i="5"/>
  <c r="E682" i="5"/>
  <c r="E683" i="5"/>
  <c r="E264" i="5"/>
  <c r="E265" i="5"/>
  <c r="E476" i="5"/>
  <c r="E477" i="5"/>
  <c r="E538" i="5"/>
  <c r="E539" i="5"/>
  <c r="E410" i="5"/>
  <c r="E411" i="5"/>
  <c r="E484" i="5"/>
  <c r="E485" i="5"/>
  <c r="E548" i="5"/>
  <c r="E549" i="5"/>
  <c r="E670" i="5"/>
  <c r="E671" i="5"/>
  <c r="E474" i="5"/>
  <c r="E475" i="5"/>
  <c r="E674" i="5"/>
  <c r="E675" i="5"/>
  <c r="E560" i="5"/>
  <c r="E561" i="5"/>
  <c r="E596" i="5"/>
  <c r="E597" i="5"/>
  <c r="E472" i="5"/>
  <c r="E473" i="5"/>
  <c r="E444" i="5"/>
  <c r="E445" i="5"/>
  <c r="E594" i="5"/>
  <c r="E595" i="5"/>
  <c r="E604" i="5"/>
  <c r="E605" i="5"/>
  <c r="E408" i="5"/>
  <c r="E409" i="5"/>
  <c r="E482" i="5"/>
  <c r="E483" i="5"/>
  <c r="E582" i="5"/>
  <c r="E583" i="5"/>
  <c r="E688" i="5"/>
  <c r="E689" i="5"/>
  <c r="E574" i="5"/>
  <c r="E575" i="5"/>
  <c r="E618" i="5"/>
  <c r="E619" i="5"/>
  <c r="E564" i="5"/>
  <c r="E565" i="5"/>
  <c r="E374" i="5"/>
  <c r="E375" i="5"/>
  <c r="E270" i="5"/>
  <c r="E271" i="5"/>
  <c r="E268" i="5"/>
  <c r="E269" i="5"/>
  <c r="E668" i="5"/>
  <c r="E669" i="5"/>
  <c r="E624" i="5"/>
  <c r="E625" i="5"/>
  <c r="E200" i="5"/>
  <c r="E201" i="5"/>
  <c r="E486" i="5"/>
  <c r="E487" i="5"/>
  <c r="E652" i="5"/>
  <c r="E653" i="5"/>
  <c r="E656" i="5"/>
  <c r="E657" i="5"/>
  <c r="E660" i="5"/>
  <c r="E661" i="5"/>
  <c r="E678" i="5"/>
  <c r="E679" i="5"/>
  <c r="E530" i="5"/>
  <c r="E531" i="5"/>
  <c r="E392" i="5"/>
  <c r="E393" i="5"/>
  <c r="E680" i="5"/>
  <c r="E681" i="5"/>
  <c r="E178" i="5"/>
  <c r="E179" i="5"/>
  <c r="E608" i="5"/>
  <c r="E609" i="5"/>
  <c r="E446" i="5"/>
  <c r="E447" i="5"/>
  <c r="E598" i="5"/>
  <c r="E599" i="5"/>
  <c r="E166" i="5"/>
  <c r="E167" i="5"/>
  <c r="E528" i="5"/>
  <c r="E529" i="5"/>
  <c r="E266" i="5"/>
  <c r="E267" i="5"/>
  <c r="E658" i="5"/>
  <c r="E659" i="5"/>
  <c r="E612" i="5"/>
  <c r="E613" i="5"/>
  <c r="E576" i="5"/>
  <c r="E577" i="5"/>
  <c r="E426" i="5"/>
  <c r="E427" i="5"/>
  <c r="E584" i="5"/>
  <c r="E585" i="5"/>
  <c r="E572" i="5"/>
  <c r="E573" i="5"/>
  <c r="E174" i="5"/>
  <c r="E175" i="5"/>
  <c r="E542" i="5"/>
  <c r="E543" i="5"/>
  <c r="E552" i="5"/>
  <c r="E553" i="5"/>
  <c r="E782" i="5"/>
  <c r="E783" i="5"/>
  <c r="E540" i="5"/>
  <c r="E541" i="5"/>
  <c r="E454" i="5"/>
  <c r="E455" i="5"/>
  <c r="E176" i="5"/>
  <c r="E177" i="5"/>
  <c r="E632" i="5"/>
  <c r="E633" i="5"/>
  <c r="E586" i="5"/>
  <c r="E587" i="5"/>
  <c r="E478" i="5"/>
  <c r="E479" i="5"/>
  <c r="E532" i="5"/>
  <c r="E533" i="5"/>
  <c r="E546" i="5"/>
  <c r="E547" i="5"/>
  <c r="E272" i="5"/>
  <c r="E273" i="5"/>
  <c r="E390" i="5"/>
  <c r="E391" i="5"/>
  <c r="E384" i="5"/>
  <c r="E385" i="5"/>
  <c r="E638" i="5"/>
  <c r="E639" i="5"/>
  <c r="E480" i="5"/>
  <c r="E481" i="5"/>
  <c r="E180" i="5"/>
  <c r="E181" i="5"/>
  <c r="E592" i="5"/>
  <c r="E593" i="5"/>
  <c r="E620" i="5"/>
  <c r="E621" i="5"/>
  <c r="E634" i="5"/>
  <c r="E635" i="5"/>
  <c r="E378" i="5"/>
  <c r="E379" i="5"/>
  <c r="E640" i="5"/>
  <c r="E641" i="5"/>
  <c r="E406" i="5"/>
  <c r="E407" i="5"/>
  <c r="E386" i="5"/>
  <c r="E387" i="5"/>
  <c r="E258" i="5"/>
  <c r="E259" i="5"/>
  <c r="E428" i="5"/>
  <c r="E429" i="5"/>
  <c r="E416" i="5"/>
  <c r="E417" i="5"/>
  <c r="E588" i="5"/>
  <c r="E589" i="5"/>
  <c r="E780" i="5"/>
  <c r="E781" i="5"/>
  <c r="E388" i="5"/>
  <c r="E389" i="5"/>
  <c r="E192" i="5"/>
  <c r="E193" i="5"/>
  <c r="E550" i="5"/>
  <c r="E551" i="5"/>
  <c r="E642" i="5"/>
  <c r="E643" i="5"/>
  <c r="E556" i="5"/>
  <c r="E557" i="5"/>
  <c r="E690" i="5"/>
  <c r="E691" i="5"/>
  <c r="E580" i="5"/>
  <c r="E581" i="5"/>
  <c r="E616" i="5"/>
  <c r="E617" i="5"/>
  <c r="E840" i="5"/>
  <c r="E841" i="5"/>
  <c r="E622" i="5"/>
  <c r="E623" i="5"/>
  <c r="E570" i="5"/>
  <c r="E571" i="5"/>
  <c r="E526" i="5"/>
  <c r="E527" i="5"/>
  <c r="E650" i="5"/>
  <c r="E651" i="5"/>
  <c r="E646" i="5"/>
  <c r="E647" i="5"/>
  <c r="E648" i="5"/>
  <c r="E649" i="5"/>
  <c r="E686" i="5"/>
  <c r="E687" i="5"/>
  <c r="E662" i="5"/>
  <c r="E663" i="5"/>
  <c r="E644" i="5"/>
  <c r="E645" i="5"/>
  <c r="E694" i="5"/>
  <c r="E695" i="5"/>
  <c r="E696" i="5"/>
  <c r="E697" i="5"/>
  <c r="E698" i="5"/>
  <c r="E699" i="5"/>
  <c r="E700" i="5"/>
  <c r="E701" i="5"/>
  <c r="E520" i="5"/>
  <c r="E521" i="5"/>
  <c r="E518" i="5"/>
  <c r="E519" i="5"/>
  <c r="E516" i="5"/>
  <c r="E517" i="5"/>
  <c r="E492" i="5"/>
  <c r="E493" i="5"/>
  <c r="E490" i="5"/>
  <c r="E491" i="5"/>
  <c r="E628" i="5"/>
  <c r="E629" i="5"/>
  <c r="E494" i="5"/>
  <c r="E495" i="5"/>
  <c r="E488" i="5"/>
  <c r="E489" i="5"/>
  <c r="E626" i="5"/>
  <c r="E627" i="5"/>
  <c r="E522" i="5"/>
  <c r="E523" i="5"/>
  <c r="E412" i="5"/>
  <c r="E413" i="5"/>
  <c r="E262" i="5"/>
  <c r="E263" i="5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6ACFC7-4B46-4554-8706-E8E564CE0694}" keepAlive="1" name="Query - Danh sách khách hàng" description="Connection to the 'Danh sách khách hàng' query in the workbook." type="5" refreshedVersion="8" background="1" saveData="1">
    <dbPr connection="Provider=Microsoft.Mashup.OleDb.1;Data Source=$Workbook$;Location=&quot;Danh sách khách hàng&quot;;Extended Properties=&quot;&quot;" command="SELECT * FROM [Danh sách khách hàng]"/>
  </connection>
  <connection id="2" xr16:uid="{58CD410D-BACB-4E9A-A231-BA67C4569CD0}" keepAlive="1" name="Query - DEAL" description="Connection to the 'DEAL' query in the workbook." type="5" refreshedVersion="8" background="1" saveData="1">
    <dbPr connection="Provider=Microsoft.Mashup.OleDb.1;Data Source=$Workbook$;Location=DEAL;Extended Properties=&quot;&quot;" command="SELECT * FROM [DEAL]"/>
  </connection>
  <connection id="3" xr16:uid="{B709A97A-40F1-4529-AD6B-764E53789249}" keepAlive="1" name="Query - DEAL (2)" description="Connection to the 'DEAL (2)' query in the workbook." type="5" refreshedVersion="8" background="1" saveData="1">
    <dbPr connection="Provider=Microsoft.Mashup.OleDb.1;Data Source=$Workbook$;Location=&quot;DEAL (2)&quot;;Extended Properties=&quot;&quot;" command="SELECT * FROM [DEAL (2)]"/>
  </connection>
  <connection id="4" xr16:uid="{CF56931F-EC66-40D8-9911-ADF08937BD57}" keepAlive="1" name="Query - DS Khach hang" description="Connection to the 'DS Khach hang' query in the workbook." type="5" refreshedVersion="8" background="1" saveData="1">
    <dbPr connection="Provider=Microsoft.Mashup.OleDb.1;Data Source=$Workbook$;Location=&quot;DS Khach hang&quot;;Extended Properties=&quot;&quot;" command="SELECT * FROM [DS Khach hang]"/>
  </connection>
  <connection id="5" xr16:uid="{9AAECFB1-A04E-433F-A718-4CE73CA6E7DF}" keepAlive="1" name="Query - ExportedData" description="Connection to the 'ExportedData' query in the workbook." type="5" refreshedVersion="8" background="1" saveData="1">
    <dbPr connection="Provider=Microsoft.Mashup.OleDb.1;Data Source=$Workbook$;Location=ExportedData;Extended Properties=&quot;&quot;" command="SELECT * FROM [ExportedData]"/>
  </connection>
  <connection id="6" xr16:uid="{939DFBE5-933D-4D60-874E-ECFA7F139639}" keepAlive="1" name="Query - RETAIL" description="Connection to the 'RETAIL' query in the workbook." type="5" refreshedVersion="8" background="1" saveData="1">
    <dbPr connection="Provider=Microsoft.Mashup.OleDb.1;Data Source=$Workbook$;Location=RETAIL;Extended Properties=&quot;&quot;" command="SELECT * FROM [RETAIL]"/>
  </connection>
  <connection id="7" xr16:uid="{962B2C2A-98AB-4213-8502-A58F89669B39}" keepAlive="1" name="Query - RETAIL (2)" description="Connection to the 'RETAIL (2)' query in the workbook." type="5" refreshedVersion="8" background="1" saveData="1">
    <dbPr connection="Provider=Microsoft.Mashup.OleDb.1;Data Source=$Workbook$;Location=&quot;RETAIL (2)&quot;;Extended Properties=&quot;&quot;" command="SELECT * FROM [RETAIL (2)]"/>
  </connection>
  <connection id="8" xr16:uid="{8CEAB088-989D-424F-AD29-70A5FFEEF1BE}" keepAlive="1" name="Query - RETAIL (3)" description="Connection to the 'RETAIL (3)' query in the workbook." type="5" refreshedVersion="8" background="1" saveData="1">
    <dbPr connection="Provider=Microsoft.Mashup.OleDb.1;Data Source=$Workbook$;Location=&quot;RETAIL (3)&quot;;Extended Properties=&quot;&quot;" command="SELECT * FROM [RETAIL (3)]"/>
  </connection>
  <connection id="9" xr16:uid="{77401FF8-9952-4AF0-A1FF-53C53FC20CC9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10" xr16:uid="{CCB14C97-761C-48E2-BF52-DB0843C8E9E9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sharedStrings.xml><?xml version="1.0" encoding="utf-8"?>
<sst xmlns="http://schemas.openxmlformats.org/spreadsheetml/2006/main" count="12317" uniqueCount="1863">
  <si>
    <t>029C002214</t>
  </si>
  <si>
    <t>0001986886MG</t>
  </si>
  <si>
    <t>CÔNG TY TNHH KH INVEST</t>
  </si>
  <si>
    <t>0001079808MG</t>
  </si>
  <si>
    <t>Trần Thị Thu Hương</t>
  </si>
  <si>
    <t>Cao Ngọc Toàn</t>
  </si>
  <si>
    <t>029C030987</t>
  </si>
  <si>
    <t>Bùi Thị Phương Ngân</t>
  </si>
  <si>
    <t>029C001821</t>
  </si>
  <si>
    <t>Bùi Đức Huy</t>
  </si>
  <si>
    <t>029C104670</t>
  </si>
  <si>
    <t>CTCP THƯƠNG MẠI SẢN XUẤT VÀ XUẤT NHẬP KHẨU NÔNG NGHIỆP XANH</t>
  </si>
  <si>
    <t>029C111059</t>
  </si>
  <si>
    <t>Cao Ngọc An</t>
  </si>
  <si>
    <t>029C000539</t>
  </si>
  <si>
    <t>029C006037</t>
  </si>
  <si>
    <t>Hoàng Thị Hoa</t>
  </si>
  <si>
    <t>029C001011</t>
  </si>
  <si>
    <t>LÊ VĂN THUẬN</t>
  </si>
  <si>
    <t>029C004022</t>
  </si>
  <si>
    <t>Lê Bảo Toàn</t>
  </si>
  <si>
    <t>029C001827</t>
  </si>
  <si>
    <t>Lê Huy Lĩnh</t>
  </si>
  <si>
    <t>029C696269</t>
  </si>
  <si>
    <t>Lê Quỳnh Nga</t>
  </si>
  <si>
    <t>029C001829</t>
  </si>
  <si>
    <t>Lê Thanh Tâm</t>
  </si>
  <si>
    <t>029C001005</t>
  </si>
  <si>
    <t>NGUYỄN HỮU PHÚ</t>
  </si>
  <si>
    <t>029C001004</t>
  </si>
  <si>
    <t>NGÔ HUỲNH MINH UY</t>
  </si>
  <si>
    <t>029C001822</t>
  </si>
  <si>
    <t>Nguyễn Công Hoan</t>
  </si>
  <si>
    <t>029C001825</t>
  </si>
  <si>
    <t>Nguyễn Khắc Thái</t>
  </si>
  <si>
    <t>029C011203</t>
  </si>
  <si>
    <t>Nguyễn Như Hường</t>
  </si>
  <si>
    <t>029C091972</t>
  </si>
  <si>
    <t>Nguyễn Thị Thúy Loan</t>
  </si>
  <si>
    <t>029C779668</t>
  </si>
  <si>
    <t>Nguyễn Trường Hưng</t>
  </si>
  <si>
    <t>029C002587</t>
  </si>
  <si>
    <t>Phương Hoàng Vũ</t>
  </si>
  <si>
    <t>029C002190</t>
  </si>
  <si>
    <t>Phạm Ngọc Cường</t>
  </si>
  <si>
    <t>029C001010</t>
  </si>
  <si>
    <t>TRƯƠNG PHAN THÀNH ĐẠT</t>
  </si>
  <si>
    <t>029C001819</t>
  </si>
  <si>
    <t>Trần Ngọc Sơn</t>
  </si>
  <si>
    <t>029C108899</t>
  </si>
  <si>
    <t>Trần Thị Hải</t>
  </si>
  <si>
    <t>029C188668</t>
  </si>
  <si>
    <t>Trần Xuân Đóa</t>
  </si>
  <si>
    <t>029C001826</t>
  </si>
  <si>
    <t>Tạ Tú Quyên</t>
  </si>
  <si>
    <t>029C696969</t>
  </si>
  <si>
    <t>Vũ Thị Minh Thi</t>
  </si>
  <si>
    <t>029C866600</t>
  </si>
  <si>
    <t>Đỗ Trịnh Tú Anh</t>
  </si>
  <si>
    <t>029C000447</t>
  </si>
  <si>
    <t>Đàm Văn Tiến</t>
  </si>
  <si>
    <t>029C678563</t>
  </si>
  <si>
    <t>Nguyễn Anh Đức</t>
  </si>
  <si>
    <t>029C003974</t>
  </si>
  <si>
    <t>Đỗ Văn Mạnh</t>
  </si>
  <si>
    <t>029C300959</t>
  </si>
  <si>
    <t>Lê Văn Bình</t>
  </si>
  <si>
    <t>029C000453</t>
  </si>
  <si>
    <t>Cao Thị Minh Trang</t>
  </si>
  <si>
    <t>029C001009</t>
  </si>
  <si>
    <t>NÔNG VĂN KHÁNH</t>
  </si>
  <si>
    <t>029C381368</t>
  </si>
  <si>
    <t>Trần Quyết Thắng</t>
  </si>
  <si>
    <t>029C258668</t>
  </si>
  <si>
    <t>Trần Quốc Tuấn</t>
  </si>
  <si>
    <t>029C181318</t>
  </si>
  <si>
    <t>Phạm Duy Lân</t>
  </si>
  <si>
    <t>029C186868</t>
  </si>
  <si>
    <t>Phạm Thị Thu Trang</t>
  </si>
  <si>
    <t>029C012160</t>
  </si>
  <si>
    <t>Phạm Thị Như Ý</t>
  </si>
  <si>
    <t>Nguyễn Hữu Long</t>
  </si>
  <si>
    <t>029C000428</t>
  </si>
  <si>
    <t>Đàm Thị Thu Huyền</t>
  </si>
  <si>
    <t>029C000450</t>
  </si>
  <si>
    <t>029C000587</t>
  </si>
  <si>
    <t>Nguyễn Thị Hạnh</t>
  </si>
  <si>
    <t>029C000589</t>
  </si>
  <si>
    <t>Mai Cảnh Dương</t>
  </si>
  <si>
    <t>029C000604</t>
  </si>
  <si>
    <t>Nguyễn Hữu Thắng</t>
  </si>
  <si>
    <t>029C024609</t>
  </si>
  <si>
    <t>Đinh Thị Yến</t>
  </si>
  <si>
    <t>029C181918</t>
  </si>
  <si>
    <t>Nguyễn Viết Đẳng</t>
  </si>
  <si>
    <t>029C201089</t>
  </si>
  <si>
    <t>Nguyễn Duy Hưng</t>
  </si>
  <si>
    <t>029C161198</t>
  </si>
  <si>
    <t>Lê Tuấn Minh</t>
  </si>
  <si>
    <t>029C005786</t>
  </si>
  <si>
    <t>Nguyễn Hoàng Linh Vũ</t>
  </si>
  <si>
    <t>029C006307</t>
  </si>
  <si>
    <t>Nguyễn Minh Hiếu</t>
  </si>
  <si>
    <t>029C015744</t>
  </si>
  <si>
    <t>Nguyễn Thị Lệ Thúy</t>
  </si>
  <si>
    <t>029C588593</t>
  </si>
  <si>
    <t>Nguyễn Thị Mai Hương</t>
  </si>
  <si>
    <t>029C302633</t>
  </si>
  <si>
    <t>Nguyễn Thị Nhàn</t>
  </si>
  <si>
    <t>029C377064</t>
  </si>
  <si>
    <t>Nguyễn Thị Phương</t>
  </si>
  <si>
    <t>029C256424</t>
  </si>
  <si>
    <t>Phan Tuấn Nghĩa</t>
  </si>
  <si>
    <t>029C004525</t>
  </si>
  <si>
    <t>Phạm Thị Túy Phượng</t>
  </si>
  <si>
    <t>029C006479</t>
  </si>
  <si>
    <t>Đỗ Nguyễn Tuấn Duy</t>
  </si>
  <si>
    <t>029C715508</t>
  </si>
  <si>
    <t>Đỗ Tuấn Dương</t>
  </si>
  <si>
    <t>029C041830</t>
  </si>
  <si>
    <t>Bùi Trần Đức Thái</t>
  </si>
  <si>
    <t>029C024984</t>
  </si>
  <si>
    <t>Nguyễn Ngọc Trâm</t>
  </si>
  <si>
    <t>Trần Tố Nhi (CTV.0002.HN)</t>
  </si>
  <si>
    <t>029C000947</t>
  </si>
  <si>
    <t>Lê Việt Hương</t>
  </si>
  <si>
    <t>029C000950</t>
  </si>
  <si>
    <t>Bùi Bá Cao</t>
  </si>
  <si>
    <t>029C000951</t>
  </si>
  <si>
    <t>Tạ Quang Nhường</t>
  </si>
  <si>
    <t>029C000952</t>
  </si>
  <si>
    <t>Phạm Thị Cẩm Vân</t>
  </si>
  <si>
    <t>029C000953</t>
  </si>
  <si>
    <t>Nghiêm Xuân Chung</t>
  </si>
  <si>
    <t>029C000954</t>
  </si>
  <si>
    <t>Dương Anh Tuấn</t>
  </si>
  <si>
    <t>029C000956</t>
  </si>
  <si>
    <t>Hoàng Thị Vân</t>
  </si>
  <si>
    <t>029C000957</t>
  </si>
  <si>
    <t>Nguyễn Quốc Cường</t>
  </si>
  <si>
    <t>029C000958</t>
  </si>
  <si>
    <t>Nguyễn Thị Minh Duyên</t>
  </si>
  <si>
    <t>029C000961</t>
  </si>
  <si>
    <t>Hoàng Văn Tuyến</t>
  </si>
  <si>
    <t>029C000962</t>
  </si>
  <si>
    <t>Phạm Phan Anh</t>
  </si>
  <si>
    <t>029C000965</t>
  </si>
  <si>
    <t>Đào Duy Thành</t>
  </si>
  <si>
    <t>029C001027</t>
  </si>
  <si>
    <t>NGUYỄN THỊ QUỲNH VÂN</t>
  </si>
  <si>
    <t>029C001028</t>
  </si>
  <si>
    <t>PHAN NGUYỄN NGỌC THÚY</t>
  </si>
  <si>
    <t>029C001823</t>
  </si>
  <si>
    <t>Nguyễn Thị Mỹ Trúc</t>
  </si>
  <si>
    <t>029C004250</t>
  </si>
  <si>
    <t>Trần Thị Mỹ Dung</t>
  </si>
  <si>
    <t>029C006877</t>
  </si>
  <si>
    <t>Hoàng Thị Lụa</t>
  </si>
  <si>
    <t>029C014460</t>
  </si>
  <si>
    <t>Nguyễn Thị Kim Toàn</t>
  </si>
  <si>
    <t>029C000625</t>
  </si>
  <si>
    <t>Vũ Minh Ngọc</t>
  </si>
  <si>
    <t>TRẦN DUY LONG</t>
  </si>
  <si>
    <t>029C003168</t>
  </si>
  <si>
    <t>Nguyễn Mạnh Hùng</t>
  </si>
  <si>
    <t>029C001017</t>
  </si>
  <si>
    <t>029C001067</t>
  </si>
  <si>
    <t>ĐINH THỊ NHẬT HẠNH</t>
  </si>
  <si>
    <t>029C001301</t>
  </si>
  <si>
    <t>PHẠM THỊ PHƯƠNG LINH</t>
  </si>
  <si>
    <t>029C001841</t>
  </si>
  <si>
    <t>Nguyễn Trung Kiên</t>
  </si>
  <si>
    <t>029C001842</t>
  </si>
  <si>
    <t>Nguyễn Quốc Huy</t>
  </si>
  <si>
    <t>029C001843</t>
  </si>
  <si>
    <t>Vũ Quỳnh Anh</t>
  </si>
  <si>
    <t>029C001844</t>
  </si>
  <si>
    <t>Vũ Minh Trang</t>
  </si>
  <si>
    <t>029C001845</t>
  </si>
  <si>
    <t>Nguyễn Trọng Bách</t>
  </si>
  <si>
    <t>029C001846</t>
  </si>
  <si>
    <t>Hoàng Tuyết Nhung</t>
  </si>
  <si>
    <t>029C001847</t>
  </si>
  <si>
    <t>Nguyễn Đức Anh</t>
  </si>
  <si>
    <t>029C001915</t>
  </si>
  <si>
    <t>Trần Như Tuyền</t>
  </si>
  <si>
    <t>029C001928</t>
  </si>
  <si>
    <t>Phạm Song Toàn</t>
  </si>
  <si>
    <t>029C001935</t>
  </si>
  <si>
    <t>Trần Phúc Kính</t>
  </si>
  <si>
    <t>029C001938</t>
  </si>
  <si>
    <t>Lê Thị Hồng</t>
  </si>
  <si>
    <t>029C001941</t>
  </si>
  <si>
    <t>Phạm Gia Huy</t>
  </si>
  <si>
    <t>029C001947</t>
  </si>
  <si>
    <t>Bùi Việt Anh</t>
  </si>
  <si>
    <t>029C001952</t>
  </si>
  <si>
    <t>Trịnh Việt Tuấn Minh</t>
  </si>
  <si>
    <t>029C001960</t>
  </si>
  <si>
    <t>Hoàng Thị Thùy Anh</t>
  </si>
  <si>
    <t>029C001961</t>
  </si>
  <si>
    <t>Bùi Phú Chất</t>
  </si>
  <si>
    <t>029C001990</t>
  </si>
  <si>
    <t>Đỗ Thị Phương Anh</t>
  </si>
  <si>
    <t>029C002004</t>
  </si>
  <si>
    <t>Phạm Tuấn Thành</t>
  </si>
  <si>
    <t>029C002008</t>
  </si>
  <si>
    <t>Nguyễn Mạnh Tú</t>
  </si>
  <si>
    <t>029C150300</t>
  </si>
  <si>
    <t>Nguyễn Ngọc Nguyên</t>
  </si>
  <si>
    <t>029C163663</t>
  </si>
  <si>
    <t>Nguyễn Kim Phương Dung</t>
  </si>
  <si>
    <t>029C190802</t>
  </si>
  <si>
    <t>Trần Đình Hiệp</t>
  </si>
  <si>
    <t>029C565566</t>
  </si>
  <si>
    <t>Nguyễn Văn Hiếu</t>
  </si>
  <si>
    <t>029C782002</t>
  </si>
  <si>
    <t>Trần Văn Nhật</t>
  </si>
  <si>
    <t>029C889909</t>
  </si>
  <si>
    <t>Trần Huy Hoàng</t>
  </si>
  <si>
    <t>029C184467</t>
  </si>
  <si>
    <t>Lê Văn Dũng</t>
  </si>
  <si>
    <t>029C009869</t>
  </si>
  <si>
    <t>Nguyễn Thanh Giang</t>
  </si>
  <si>
    <t>Nguyễn Thị Kiều Trang</t>
  </si>
  <si>
    <t>029C001856</t>
  </si>
  <si>
    <t>Bùi Văn Hoàng</t>
  </si>
  <si>
    <t>029C001218</t>
  </si>
  <si>
    <t>DƯƠNG ĐÌNH TIẾN</t>
  </si>
  <si>
    <t>029C001215</t>
  </si>
  <si>
    <t>LÊ THỊ QUỲNH</t>
  </si>
  <si>
    <t>029C001213</t>
  </si>
  <si>
    <t>LÊ THỊ THUẬN YẾN</t>
  </si>
  <si>
    <t>029C001207</t>
  </si>
  <si>
    <t>LÊ ĐỨC MẠNH</t>
  </si>
  <si>
    <t>029C770144</t>
  </si>
  <si>
    <t>Lâm Văn Bảo Chung</t>
  </si>
  <si>
    <t>029C170785</t>
  </si>
  <si>
    <t>Lương Thị Phương</t>
  </si>
  <si>
    <t>029C001216</t>
  </si>
  <si>
    <t>NGUYỄN HUY ĐỨC</t>
  </si>
  <si>
    <t>029C001205</t>
  </si>
  <si>
    <t>NGUYỄN HUYỀN TRANG</t>
  </si>
  <si>
    <t>029C001007</t>
  </si>
  <si>
    <t>NGUYỄN HỮU TUẤN</t>
  </si>
  <si>
    <t>029C001224</t>
  </si>
  <si>
    <t>NGUYỄN KHÁNH LINH</t>
  </si>
  <si>
    <t>029C001201</t>
  </si>
  <si>
    <t>NGUYỄN NHẬT TRƯỜNG</t>
  </si>
  <si>
    <t>029C001221</t>
  </si>
  <si>
    <t>NGUYỄN THU THỦY</t>
  </si>
  <si>
    <t>029C001222</t>
  </si>
  <si>
    <t>NGUYỄN THẢO NGUYÊN</t>
  </si>
  <si>
    <t>029C001197</t>
  </si>
  <si>
    <t>NGUYỄN THỊ MINH PHƯƠNG</t>
  </si>
  <si>
    <t>029C001202</t>
  </si>
  <si>
    <t>NGUYỄN THỊ THANH MINH</t>
  </si>
  <si>
    <t>029C001210</t>
  </si>
  <si>
    <t>NGUYỄN THỊ THẢO LINH</t>
  </si>
  <si>
    <t>029C001220</t>
  </si>
  <si>
    <t>NGUYỄN VÂN ANH</t>
  </si>
  <si>
    <t>029C001211</t>
  </si>
  <si>
    <t>NGUYỄN ĐÌNH TÀI</t>
  </si>
  <si>
    <t>029C311975</t>
  </si>
  <si>
    <t>Nguyễn Khải Hoàn</t>
  </si>
  <si>
    <t>029C015323</t>
  </si>
  <si>
    <t>Nguyễn Thế Khoa</t>
  </si>
  <si>
    <t>029C001900</t>
  </si>
  <si>
    <t>Nguyễn Thị Hoài Sương</t>
  </si>
  <si>
    <t>029C008526</t>
  </si>
  <si>
    <t>029C393939</t>
  </si>
  <si>
    <t>Nguyễn Thị Nguyệt</t>
  </si>
  <si>
    <t>029C907005</t>
  </si>
  <si>
    <t>Nguyễn Thị Ngọc Giàu</t>
  </si>
  <si>
    <t>029C001893</t>
  </si>
  <si>
    <t>Nguyễn Thị Quỳnh Hoa</t>
  </si>
  <si>
    <t>029C001892</t>
  </si>
  <si>
    <t>Nguyễn Thị Trinh Trinh</t>
  </si>
  <si>
    <t>029C001898</t>
  </si>
  <si>
    <t>Nguyễn Võ Ngọc Khánh</t>
  </si>
  <si>
    <t>029C001889</t>
  </si>
  <si>
    <t>Nguyễn Văn Lâm</t>
  </si>
  <si>
    <t>029C002239</t>
  </si>
  <si>
    <t>Nguyễn Xuân Sức</t>
  </si>
  <si>
    <t>029C001993</t>
  </si>
  <si>
    <t>029C001991</t>
  </si>
  <si>
    <t>Nguyễn Đức Thạo</t>
  </si>
  <si>
    <t>029C001997</t>
  </si>
  <si>
    <t>Ngô Anh Tuấn</t>
  </si>
  <si>
    <t>029C461989</t>
  </si>
  <si>
    <t>Ngô Ngọc Linh</t>
  </si>
  <si>
    <t>029C001888</t>
  </si>
  <si>
    <t>Ngô Thị Ngọc</t>
  </si>
  <si>
    <t>029C001219</t>
  </si>
  <si>
    <t>PHÍ KIỀU TRANG</t>
  </si>
  <si>
    <t>029C001212</t>
  </si>
  <si>
    <t>PHẠM LÊ PHƯƠNG ANH</t>
  </si>
  <si>
    <t>029C001204</t>
  </si>
  <si>
    <t>PHẠM QUỲNH CHI</t>
  </si>
  <si>
    <t>029C001209</t>
  </si>
  <si>
    <t>PHẠM THỊ HIM</t>
  </si>
  <si>
    <t>029C001217</t>
  </si>
  <si>
    <t>PHẠM THỊ HỒNG HẠNH</t>
  </si>
  <si>
    <t>029C001199</t>
  </si>
  <si>
    <t>PHẠM ÁNH TUYẾT</t>
  </si>
  <si>
    <t>029C003618</t>
  </si>
  <si>
    <t>Phạm Hải Đại</t>
  </si>
  <si>
    <t>029C001896</t>
  </si>
  <si>
    <t>Phạm Minh Tuấn</t>
  </si>
  <si>
    <t>029C001848</t>
  </si>
  <si>
    <t>Phạm Tiến Long</t>
  </si>
  <si>
    <t>029C001225</t>
  </si>
  <si>
    <t>TRẦN KHÁNH PHƯƠNG NGUYÊN</t>
  </si>
  <si>
    <t>029C001226</t>
  </si>
  <si>
    <t>TRẦN THỊ HƯƠNG GIANG</t>
  </si>
  <si>
    <t>029C001203</t>
  </si>
  <si>
    <t>TRẦN TRUNG BẮC</t>
  </si>
  <si>
    <t>029C040858</t>
  </si>
  <si>
    <t>Trần Thanh Hùng</t>
  </si>
  <si>
    <t>029C001902</t>
  </si>
  <si>
    <t>Trần Thị Tuyết Ưng</t>
  </si>
  <si>
    <t>029C001887</t>
  </si>
  <si>
    <t>Trần Việt Hưng</t>
  </si>
  <si>
    <t>029C021207</t>
  </si>
  <si>
    <t>Trần Văn Nghĩa</t>
  </si>
  <si>
    <t>029C001223</t>
  </si>
  <si>
    <t>TẠ THÙY LINH</t>
  </si>
  <si>
    <t>029C751733</t>
  </si>
  <si>
    <t>Tạ Minh Thu</t>
  </si>
  <si>
    <t xml:space="preserve">029C002102 </t>
  </si>
  <si>
    <t>Đỗ Văn Hòa</t>
  </si>
  <si>
    <t>029C939393</t>
  </si>
  <si>
    <t>Tống Sơn Giang</t>
  </si>
  <si>
    <t>029C001343</t>
  </si>
  <si>
    <t>VÕ THỊ DIỄM QUỲNH</t>
  </si>
  <si>
    <t>029C001890</t>
  </si>
  <si>
    <t>Vũ Hương Giang</t>
  </si>
  <si>
    <t>029C001953</t>
  </si>
  <si>
    <t>Vũ Thị Doan</t>
  </si>
  <si>
    <t>029C181518</t>
  </si>
  <si>
    <t>Đặng Đình Tuân</t>
  </si>
  <si>
    <t>029C001200</t>
  </si>
  <si>
    <t>ĐỖ BÁ LẬP</t>
  </si>
  <si>
    <t>029C001228</t>
  </si>
  <si>
    <t>ĐỖ HÀ UYÊN</t>
  </si>
  <si>
    <t>029C001227</t>
  </si>
  <si>
    <t>ĐỖ QUỐC KHÁNH</t>
  </si>
  <si>
    <t>029C002001</t>
  </si>
  <si>
    <t>Đỗ Minh Tâm</t>
  </si>
  <si>
    <t>029C002102</t>
  </si>
  <si>
    <t>029C003358</t>
  </si>
  <si>
    <t>Đoàn Thị Phương Mai</t>
  </si>
  <si>
    <t>029C003552</t>
  </si>
  <si>
    <t>Hoàng Bích Phượng</t>
  </si>
  <si>
    <t>029C003502</t>
  </si>
  <si>
    <t>Nguyễn Quang Huy</t>
  </si>
  <si>
    <t>029C220612</t>
  </si>
  <si>
    <t>Trần Thị Tuyến</t>
  </si>
  <si>
    <t>029C181018</t>
  </si>
  <si>
    <t>Nguyễn Thị Minh Hạnh</t>
  </si>
  <si>
    <t>029C260202</t>
  </si>
  <si>
    <t>Dương Đức Thắng</t>
  </si>
  <si>
    <t>029C003573</t>
  </si>
  <si>
    <t>Nguyễn Thùy Trang</t>
  </si>
  <si>
    <t>029C846886</t>
  </si>
  <si>
    <t>Trương Minh Rạng</t>
  </si>
  <si>
    <t>029C186789</t>
  </si>
  <si>
    <t>Trịnh Minh Tiến</t>
  </si>
  <si>
    <t>029C181218</t>
  </si>
  <si>
    <t>Nguyễn Thị Tâm Anh</t>
  </si>
  <si>
    <t>029C018883</t>
  </si>
  <si>
    <t>Lê Thị Quý</t>
  </si>
  <si>
    <t>029C992961</t>
  </si>
  <si>
    <t>Trần Ngọc Trung</t>
  </si>
  <si>
    <t>Nguyễn Hương Giang</t>
  </si>
  <si>
    <t>029C001595</t>
  </si>
  <si>
    <t>LÊ NGUYỄN THU UYÊN</t>
  </si>
  <si>
    <t>029C001511</t>
  </si>
  <si>
    <t>LÊ THỊ HÀ MY</t>
  </si>
  <si>
    <t>029C001599</t>
  </si>
  <si>
    <t>LÊ XUÂN NHI</t>
  </si>
  <si>
    <t>029C001601</t>
  </si>
  <si>
    <t>LƯƠNG VIỆT ĐỨC</t>
  </si>
  <si>
    <t>029C001064</t>
  </si>
  <si>
    <t>NGUYỄN HƯƠNG GIANG</t>
  </si>
  <si>
    <t>029C001566</t>
  </si>
  <si>
    <t>NGUYỄN PHƯƠNG LINH</t>
  </si>
  <si>
    <t>029C001520</t>
  </si>
  <si>
    <t>NGUYỄN THỊ PHƯƠNG ANH</t>
  </si>
  <si>
    <t>029C001422</t>
  </si>
  <si>
    <t>NGUYỄN THỊ THÙY DƯƠNG</t>
  </si>
  <si>
    <t>029C001542</t>
  </si>
  <si>
    <t>NGUYỄN TIẾN MẠNH</t>
  </si>
  <si>
    <t>029C001600</t>
  </si>
  <si>
    <t>NGUYỄN TRỌNG HOÀN</t>
  </si>
  <si>
    <t>029C001569</t>
  </si>
  <si>
    <t>NGÔ LƯƠNG QUỲNH MAI</t>
  </si>
  <si>
    <t>029C001621</t>
  </si>
  <si>
    <t>Nguyễn Thanh Tùng</t>
  </si>
  <si>
    <t>029C240185</t>
  </si>
  <si>
    <t>Nguyễn Thị Hà Khánh</t>
  </si>
  <si>
    <t>029C001567</t>
  </si>
  <si>
    <t>PHẠM BẢO DUY</t>
  </si>
  <si>
    <t>029C001570</t>
  </si>
  <si>
    <t>PHẠM MINH THUẬN</t>
  </si>
  <si>
    <t>029C001592</t>
  </si>
  <si>
    <t>PHẠM NGUYỄN TÚ ANH</t>
  </si>
  <si>
    <t>029C361828</t>
  </si>
  <si>
    <t>Phan Hoàng Anh</t>
  </si>
  <si>
    <t>029C001598</t>
  </si>
  <si>
    <t>TRỊNH HẢI MINH</t>
  </si>
  <si>
    <t>029C001565</t>
  </si>
  <si>
    <t>TRỊNH NGUYÊN HƯNG</t>
  </si>
  <si>
    <t>029C214692</t>
  </si>
  <si>
    <t>Tạ Đức Bình</t>
  </si>
  <si>
    <t>029C001586</t>
  </si>
  <si>
    <t>ĐỖ DUY HƯNG</t>
  </si>
  <si>
    <t>029C071088</t>
  </si>
  <si>
    <t>Phạm Hoàng Long</t>
  </si>
  <si>
    <t>029C004426</t>
  </si>
  <si>
    <t>Trần Việt Bắc</t>
  </si>
  <si>
    <t>Đinh Thị Dinh</t>
  </si>
  <si>
    <t>029C001302</t>
  </si>
  <si>
    <t>ĐINH THỊ THANH LOAN</t>
  </si>
  <si>
    <t>029C001309</t>
  </si>
  <si>
    <t>NGUYỄN VŨ DIỆU LINH</t>
  </si>
  <si>
    <t>029C001310</t>
  </si>
  <si>
    <t>NGUYỄN THỊ PHƯƠNG</t>
  </si>
  <si>
    <t>029C001320</t>
  </si>
  <si>
    <t>VŨ PHƯƠNG HOÀNG</t>
  </si>
  <si>
    <t>029C001322</t>
  </si>
  <si>
    <t>ĐỖ PHƯƠNG DUNG</t>
  </si>
  <si>
    <t>029C001333</t>
  </si>
  <si>
    <t>029C001341</t>
  </si>
  <si>
    <t>ĐỖ PHƯƠNG THẢO</t>
  </si>
  <si>
    <t>029C001492</t>
  </si>
  <si>
    <t>LÊ THỊ DUNG</t>
  </si>
  <si>
    <t>029C001499</t>
  </si>
  <si>
    <t>029C001867</t>
  </si>
  <si>
    <t>Đoàn Lê Trang</t>
  </si>
  <si>
    <t>029C001877</t>
  </si>
  <si>
    <t>Trần Ngọc Minh</t>
  </si>
  <si>
    <t>029C182866</t>
  </si>
  <si>
    <t>Lê Thị Lệ Giang</t>
  </si>
  <si>
    <t>029C183258</t>
  </si>
  <si>
    <t>Nguyễn Thị Hoài Hương</t>
  </si>
  <si>
    <t>029C186818</t>
  </si>
  <si>
    <t>Đinh Hồng Hạnh</t>
  </si>
  <si>
    <t>029C662866</t>
  </si>
  <si>
    <t>Nguyễn Ngọc Phương Anh</t>
  </si>
  <si>
    <t>029C950818</t>
  </si>
  <si>
    <t>Trần Phương Thảo</t>
  </si>
  <si>
    <t>Hoàng Minh Hằng</t>
  </si>
  <si>
    <t>029C003630</t>
  </si>
  <si>
    <t>Nguyễn Công Hân</t>
  </si>
  <si>
    <t>029C003219</t>
  </si>
  <si>
    <t>Nguyễn Quỳnh Trang</t>
  </si>
  <si>
    <t>029C003213</t>
  </si>
  <si>
    <t>Nguyễn Sinh Nam</t>
  </si>
  <si>
    <t>029C003327</t>
  </si>
  <si>
    <t>Lê Thu Hương</t>
  </si>
  <si>
    <t>029C003364</t>
  </si>
  <si>
    <t>Nguyễn Đức Lộc</t>
  </si>
  <si>
    <t>029C003363</t>
  </si>
  <si>
    <t>Dương Thị Thu Hương</t>
  </si>
  <si>
    <t>029C019464</t>
  </si>
  <si>
    <t>Nguyễn Thị Bạch Tuyết</t>
  </si>
  <si>
    <t>029C008479</t>
  </si>
  <si>
    <t>Phạm Phương Anh</t>
  </si>
  <si>
    <t>029C025009</t>
  </si>
  <si>
    <t>Nguyễn Minh Anh</t>
  </si>
  <si>
    <t>Dương Minh Thúy (CTV.0001.HN)</t>
  </si>
  <si>
    <t>029C004045</t>
  </si>
  <si>
    <t>Phạm Thị Thu Thảo</t>
  </si>
  <si>
    <t>Trần Mai Oanh</t>
  </si>
  <si>
    <t>029C131313</t>
  </si>
  <si>
    <t>Nguyễn Khắc Tiệp</t>
  </si>
  <si>
    <t>029C002390</t>
  </si>
  <si>
    <t>Trần Đức Thắng</t>
  </si>
  <si>
    <t>029C136701</t>
  </si>
  <si>
    <t>Nguyễn Ngọc Thành</t>
  </si>
  <si>
    <t>029C694151</t>
  </si>
  <si>
    <t>Nguyễn Thành Trung</t>
  </si>
  <si>
    <t>029C874664</t>
  </si>
  <si>
    <t>Đào Quang Minh</t>
  </si>
  <si>
    <t>029C004269</t>
  </si>
  <si>
    <t>Nguyễn Việt Cường</t>
  </si>
  <si>
    <t>Lê Thành Đạt</t>
  </si>
  <si>
    <t>029C141193</t>
  </si>
  <si>
    <t>Nguyễn Ngọc Lan Phương</t>
  </si>
  <si>
    <t>029C002384</t>
  </si>
  <si>
    <t>Hồ Anh Thắng</t>
  </si>
  <si>
    <t>029C002380</t>
  </si>
  <si>
    <t>Nhâm Sỹ Nhân</t>
  </si>
  <si>
    <t>029C014308</t>
  </si>
  <si>
    <t>Đoàn Thị Tuyết</t>
  </si>
  <si>
    <t>029C280193</t>
  </si>
  <si>
    <t>Ngô Thị Thùy Dương</t>
  </si>
  <si>
    <t>029C736599</t>
  </si>
  <si>
    <t>CÔNG TY CỔ PHẦN ĐẦU TƯ LEO REGULUS</t>
  </si>
  <si>
    <t>029C181118</t>
  </si>
  <si>
    <t>Nguyễn Thị Minh Hồng</t>
  </si>
  <si>
    <t>029C181818</t>
  </si>
  <si>
    <t>Nguyễn Sĩ Hiển</t>
  </si>
  <si>
    <t>Tạ Thu Trang</t>
  </si>
  <si>
    <t>029C002947</t>
  </si>
  <si>
    <t>Trương Thị Tú Uyên</t>
  </si>
  <si>
    <t>029C270880</t>
  </si>
  <si>
    <t>029C002382</t>
  </si>
  <si>
    <t>Lê Quang Anh</t>
  </si>
  <si>
    <t>Phạm Thị Phương Thuận</t>
  </si>
  <si>
    <t>029C363449</t>
  </si>
  <si>
    <t>Nguyễn Sỹ Hoàn</t>
  </si>
  <si>
    <t>029C037409</t>
  </si>
  <si>
    <t>Lê Minh Anh</t>
  </si>
  <si>
    <t>029C187129</t>
  </si>
  <si>
    <t>Nguyễn Văn Dương</t>
  </si>
  <si>
    <t>029C274480</t>
  </si>
  <si>
    <t>Lê Công Thọ</t>
  </si>
  <si>
    <t>Phạm Như Ngọc . CTV</t>
  </si>
  <si>
    <t>029C001059</t>
  </si>
  <si>
    <t>LÊ THU NGÂN</t>
  </si>
  <si>
    <t>029C001062</t>
  </si>
  <si>
    <t>HOÀNG THỊ TỐ UYÊN</t>
  </si>
  <si>
    <t>029C001063</t>
  </si>
  <si>
    <t>TRẦN TUẤN QUÂN</t>
  </si>
  <si>
    <t>029C006370</t>
  </si>
  <si>
    <t>Nguyễn Văn Thịnh</t>
  </si>
  <si>
    <t>029C009926</t>
  </si>
  <si>
    <t>Nguyễn Thị Kiều Trinh</t>
  </si>
  <si>
    <t>029C028216</t>
  </si>
  <si>
    <t>Nguyễn Thành Đạt</t>
  </si>
  <si>
    <t>029C281777</t>
  </si>
  <si>
    <t>Phạm Như Ngọc</t>
  </si>
  <si>
    <t>029C002383</t>
  </si>
  <si>
    <t>Nguyễn Thị Hưởng</t>
  </si>
  <si>
    <t>029C992471</t>
  </si>
  <si>
    <t>Trần Ngọc Lan</t>
  </si>
  <si>
    <t>029C003982</t>
  </si>
  <si>
    <t>Quách Văn Bình</t>
  </si>
  <si>
    <t>Nguyễn Phương Linh</t>
  </si>
  <si>
    <t>029C004030</t>
  </si>
  <si>
    <t>Nguyễn Thị Ánh</t>
  </si>
  <si>
    <t>Lê Minh Hiếu</t>
  </si>
  <si>
    <t>029C003994</t>
  </si>
  <si>
    <t>Nguyễn Thị Loan</t>
  </si>
  <si>
    <t>029C003736</t>
  </si>
  <si>
    <t>Lê Quang Tiến</t>
  </si>
  <si>
    <t>Phạm Việt Hưng</t>
  </si>
  <si>
    <t>029C779979</t>
  </si>
  <si>
    <t>Nguyễn Thị Hằng</t>
  </si>
  <si>
    <t>TÀI KHOẢN LƯU KÝ</t>
  </si>
  <si>
    <t>SỐ TIỂU KHOẢN</t>
  </si>
  <si>
    <t>TÊN KHÁCH HÀNG</t>
  </si>
  <si>
    <t>PHẠM THỊ THU HẰNG</t>
  </si>
  <si>
    <t>BR0136</t>
  </si>
  <si>
    <t>050C030155</t>
  </si>
  <si>
    <t>0001030155MG</t>
  </si>
  <si>
    <t>NGUYỄN THỊ THANH BÌNH</t>
  </si>
  <si>
    <t>CTV0119</t>
  </si>
  <si>
    <t>0001030155NM</t>
  </si>
  <si>
    <t>050C079808</t>
  </si>
  <si>
    <t>CTV0120</t>
  </si>
  <si>
    <t>0001079808NM</t>
  </si>
  <si>
    <t>050C120944</t>
  </si>
  <si>
    <t>0001120944MG</t>
  </si>
  <si>
    <t>0001120944NM</t>
  </si>
  <si>
    <t>050C169151</t>
  </si>
  <si>
    <t>0001169151MG</t>
  </si>
  <si>
    <t>NGUYỄN HỮU MINH</t>
  </si>
  <si>
    <t>0001169151NM</t>
  </si>
  <si>
    <t>050C184968</t>
  </si>
  <si>
    <t>0001184968MG</t>
  </si>
  <si>
    <t>0001184968NM</t>
  </si>
  <si>
    <t>050C200892</t>
  </si>
  <si>
    <t>0001200892M1</t>
  </si>
  <si>
    <t>NGUYỄN VĂN TUẤN</t>
  </si>
  <si>
    <t>0001200892MG</t>
  </si>
  <si>
    <t>0001200892NM</t>
  </si>
  <si>
    <t>050C220508</t>
  </si>
  <si>
    <t>0001220508MG</t>
  </si>
  <si>
    <t>NGUYỄN PHÚC LỢI</t>
  </si>
  <si>
    <t>0001220508NM</t>
  </si>
  <si>
    <t>050C262622</t>
  </si>
  <si>
    <t>0001262622MG</t>
  </si>
  <si>
    <t>CÔNG TY CỔ PHẦN THƯƠNG MẠI SẢN XUẤT VÀ XUẤT NHẬP KHẨU NÔNG NGHIỆP XANH</t>
  </si>
  <si>
    <t>0001262622NM</t>
  </si>
  <si>
    <t>050C286993</t>
  </si>
  <si>
    <t>0001286993MG</t>
  </si>
  <si>
    <t>0001286993NM</t>
  </si>
  <si>
    <t>050C316161</t>
  </si>
  <si>
    <t>0001316161MG</t>
  </si>
  <si>
    <t>0001316161NM</t>
  </si>
  <si>
    <t>050C602269</t>
  </si>
  <si>
    <t>0001602269M1</t>
  </si>
  <si>
    <t>0001602269MG</t>
  </si>
  <si>
    <t>0001602269NM</t>
  </si>
  <si>
    <t>050C622681</t>
  </si>
  <si>
    <t>0001622681M1</t>
  </si>
  <si>
    <t>ĐỖ QUỐC THÁI</t>
  </si>
  <si>
    <t>0001622681MG</t>
  </si>
  <si>
    <t>0001622681NM</t>
  </si>
  <si>
    <t>050C857838</t>
  </si>
  <si>
    <t>0001857838MG</t>
  </si>
  <si>
    <t>0001857838NM</t>
  </si>
  <si>
    <t>050C986886</t>
  </si>
  <si>
    <t>0001986886NM</t>
  </si>
  <si>
    <t>TÊN MÔI GIỚI</t>
  </si>
  <si>
    <t>MÃ CBMG</t>
  </si>
  <si>
    <t>TÊN CTV</t>
  </si>
  <si>
    <t>MÃ CTV</t>
  </si>
  <si>
    <t>Trần Duy Long</t>
  </si>
  <si>
    <t>NHÓM KHÁCH HÀNG</t>
  </si>
  <si>
    <t>PHÂN LOẠI KHÁCH HÀNG</t>
  </si>
  <si>
    <t>STT</t>
  </si>
  <si>
    <t>Ngày</t>
  </si>
  <si>
    <t>Tiểu khoản</t>
  </si>
  <si>
    <t>Tên Khách Hàng</t>
  </si>
  <si>
    <t>Nhân viên QL</t>
  </si>
  <si>
    <t>Trần Tố Nhi</t>
  </si>
  <si>
    <t>029C001066</t>
  </si>
  <si>
    <t>PHẠM VIỆT HƯNG</t>
  </si>
  <si>
    <t>029C001084</t>
  </si>
  <si>
    <t>VŨ THỊ NGA</t>
  </si>
  <si>
    <t>029C001541</t>
  </si>
  <si>
    <t>ĐẶNG XUÂN DŨNG</t>
  </si>
  <si>
    <t>029C001607</t>
  </si>
  <si>
    <t>Nguyễn Thị Trang</t>
  </si>
  <si>
    <t>029C001608</t>
  </si>
  <si>
    <t>Nguyễn Thị Duyên</t>
  </si>
  <si>
    <t>029C001758</t>
  </si>
  <si>
    <t>Phạm Tiến Dũng</t>
  </si>
  <si>
    <t>029C001759</t>
  </si>
  <si>
    <t>Hà Quang Minh</t>
  </si>
  <si>
    <t>029C001760</t>
  </si>
  <si>
    <t>Lê Minh Khiêm</t>
  </si>
  <si>
    <t>029C001761</t>
  </si>
  <si>
    <t>Ngô Minh Chí</t>
  </si>
  <si>
    <t>029C001762</t>
  </si>
  <si>
    <t>Phạm Khắc Hoàng</t>
  </si>
  <si>
    <t>029C001763</t>
  </si>
  <si>
    <t>Phạm Hoàng Bách</t>
  </si>
  <si>
    <t>029C001765</t>
  </si>
  <si>
    <t>Lương Nhật Minh</t>
  </si>
  <si>
    <t>029C001767</t>
  </si>
  <si>
    <t>Phạm Tuấn Anh</t>
  </si>
  <si>
    <t>029C001791</t>
  </si>
  <si>
    <t>Nguyễn Bá Đức</t>
  </si>
  <si>
    <t>029C001799</t>
  </si>
  <si>
    <t>Trần Trung Hiếu</t>
  </si>
  <si>
    <t>029C001800</t>
  </si>
  <si>
    <t>Phạm Hồng Hoàng</t>
  </si>
  <si>
    <t>029C001874</t>
  </si>
  <si>
    <t>Đỗ Huy Hùng</t>
  </si>
  <si>
    <t>029C001875</t>
  </si>
  <si>
    <t>Trương Văn Hoàn</t>
  </si>
  <si>
    <t>029C001876</t>
  </si>
  <si>
    <t>Chu Việt Dũng</t>
  </si>
  <si>
    <t>029C001878</t>
  </si>
  <si>
    <t>Nguyễn Duy Chuyên</t>
  </si>
  <si>
    <t>029C001880</t>
  </si>
  <si>
    <t>Đào Văn Dĩnh</t>
  </si>
  <si>
    <t>029C001881</t>
  </si>
  <si>
    <t>Nguyễn Minh Tú</t>
  </si>
  <si>
    <t>029C001884</t>
  </si>
  <si>
    <t>Đặng Thành Đạt</t>
  </si>
  <si>
    <t>029C001885</t>
  </si>
  <si>
    <t>Hoàng Văn Thắng</t>
  </si>
  <si>
    <t>029C001886</t>
  </si>
  <si>
    <t>Vũ Văn Minh</t>
  </si>
  <si>
    <t>029C001934</t>
  </si>
  <si>
    <t>Phạm Đức Thịnh</t>
  </si>
  <si>
    <t>029C001939</t>
  </si>
  <si>
    <t>Nguyễn Khắc Đức</t>
  </si>
  <si>
    <t>029C001942</t>
  </si>
  <si>
    <t>Nhữ Công Hoàng Hiệp</t>
  </si>
  <si>
    <t>029C001945</t>
  </si>
  <si>
    <t>Cao Huy Hoằng</t>
  </si>
  <si>
    <t>029C001999</t>
  </si>
  <si>
    <t>Vũ Khánh Ly</t>
  </si>
  <si>
    <t>029C002007</t>
  </si>
  <si>
    <t>Nguyễn Huy Hoàng</t>
  </si>
  <si>
    <t>029C002013</t>
  </si>
  <si>
    <t>Phạm Đức Duy</t>
  </si>
  <si>
    <t>029C002017</t>
  </si>
  <si>
    <t>Phạm Minh Quý</t>
  </si>
  <si>
    <t>029C002020</t>
  </si>
  <si>
    <t>Trần Thế Quân</t>
  </si>
  <si>
    <t>029C002021</t>
  </si>
  <si>
    <t>Hà Hải Quyến</t>
  </si>
  <si>
    <t>029C002035</t>
  </si>
  <si>
    <t>Phí Đình Đạt</t>
  </si>
  <si>
    <t>029C002037</t>
  </si>
  <si>
    <t>Trần Huy</t>
  </si>
  <si>
    <t>Phạm Thái Dương</t>
  </si>
  <si>
    <t>029C002114</t>
  </si>
  <si>
    <t>Nguyễn Đức Chính</t>
  </si>
  <si>
    <t>029C002138</t>
  </si>
  <si>
    <t>Nguyễn Duy Thắng</t>
  </si>
  <si>
    <t>029C002213</t>
  </si>
  <si>
    <t>Nguyễn Thị Thanh</t>
  </si>
  <si>
    <t>029C002262</t>
  </si>
  <si>
    <t>Đào Mai Phương</t>
  </si>
  <si>
    <t>029C002266</t>
  </si>
  <si>
    <t>029C002276</t>
  </si>
  <si>
    <t>Lê Đức Thọ</t>
  </si>
  <si>
    <t>029C002277</t>
  </si>
  <si>
    <t>Nguyễn Gia Huy</t>
  </si>
  <si>
    <t>029C002280</t>
  </si>
  <si>
    <t>Đỗ Minh Trường</t>
  </si>
  <si>
    <t>029C002301</t>
  </si>
  <si>
    <t>029C002305</t>
  </si>
  <si>
    <t>Bùi Đặng Nhật Thành</t>
  </si>
  <si>
    <t>Nguyễn Thị Ngọc Mai</t>
  </si>
  <si>
    <t>029C002312</t>
  </si>
  <si>
    <t>Nguyễn Mỹ Hà</t>
  </si>
  <si>
    <t>029C002315</t>
  </si>
  <si>
    <t>Nguyễn Thị Ngọc Anh</t>
  </si>
  <si>
    <t>029C002318</t>
  </si>
  <si>
    <t>Cao Thùy Linh</t>
  </si>
  <si>
    <t>029C002323</t>
  </si>
  <si>
    <t>Nguyễn Đình Khánh</t>
  </si>
  <si>
    <t>029C002325</t>
  </si>
  <si>
    <t>Phạm Hằng Nga</t>
  </si>
  <si>
    <t>029C002329</t>
  </si>
  <si>
    <t>Phạm Minh Anh</t>
  </si>
  <si>
    <t>029C002330</t>
  </si>
  <si>
    <t>Nguyễn Thị Ngọc</t>
  </si>
  <si>
    <t>029C002332</t>
  </si>
  <si>
    <t>Đỗ Thái Dương</t>
  </si>
  <si>
    <t>029C002333</t>
  </si>
  <si>
    <t>Hà Thu Trang</t>
  </si>
  <si>
    <t>029C002334</t>
  </si>
  <si>
    <t>Phan Thị Ngọc Anh</t>
  </si>
  <si>
    <t>029C002336</t>
  </si>
  <si>
    <t>Nguyễn Diệu Linh</t>
  </si>
  <si>
    <t>029C002337</t>
  </si>
  <si>
    <t>Tô Diệu Linh</t>
  </si>
  <si>
    <t>029C002339</t>
  </si>
  <si>
    <t>Hoàng Mỹ Duyên</t>
  </si>
  <si>
    <t>029C002341</t>
  </si>
  <si>
    <t>Ngọ Thị Thảo Hương</t>
  </si>
  <si>
    <t>029C002342</t>
  </si>
  <si>
    <t>Hồ Huyền My</t>
  </si>
  <si>
    <t>029C002343</t>
  </si>
  <si>
    <t>Phạm Ngọc Linh</t>
  </si>
  <si>
    <t>029C002344</t>
  </si>
  <si>
    <t>Phan Thị Khánh Huyền</t>
  </si>
  <si>
    <t>029C002345</t>
  </si>
  <si>
    <t>Nguyễn Văn Toàn</t>
  </si>
  <si>
    <t>029C002346</t>
  </si>
  <si>
    <t>Đinh Trúc Quỳnh</t>
  </si>
  <si>
    <t>029C002354</t>
  </si>
  <si>
    <t>Chu Thành Lộc</t>
  </si>
  <si>
    <t>029C002358</t>
  </si>
  <si>
    <t>Vũ Thị Diễm Quỳnh</t>
  </si>
  <si>
    <t>029C002360</t>
  </si>
  <si>
    <t>Nguyễn Minh Quân</t>
  </si>
  <si>
    <t>029C002371</t>
  </si>
  <si>
    <t>Phí Thị Thu Hà</t>
  </si>
  <si>
    <t>029C002372</t>
  </si>
  <si>
    <t>Vũ Trà My</t>
  </si>
  <si>
    <t>029C002407</t>
  </si>
  <si>
    <t>Nguyễn Tuyết Nhung</t>
  </si>
  <si>
    <t>029C002474</t>
  </si>
  <si>
    <t>Từ Trung Thành</t>
  </si>
  <si>
    <t>029C002476</t>
  </si>
  <si>
    <t>Trương Thị Thanh Trúc</t>
  </si>
  <si>
    <t>029C002477</t>
  </si>
  <si>
    <t>Nguyễn Thị Mộng Như</t>
  </si>
  <si>
    <t>029C002689</t>
  </si>
  <si>
    <t>Hoàng Thị Thanh Huyền</t>
  </si>
  <si>
    <t>029C002745</t>
  </si>
  <si>
    <t>Phạm Hồng Thịnh</t>
  </si>
  <si>
    <t>029C002758</t>
  </si>
  <si>
    <t>Lương Thị Thái</t>
  </si>
  <si>
    <t>029C003321</t>
  </si>
  <si>
    <t>Phạm Minh Hiền</t>
  </si>
  <si>
    <t>029C003322</t>
  </si>
  <si>
    <t>Quách Quỳnh Anh</t>
  </si>
  <si>
    <t>029C003325</t>
  </si>
  <si>
    <t>Phạm Thu An</t>
  </si>
  <si>
    <t>029C003326</t>
  </si>
  <si>
    <t>Lê Thùy Dung</t>
  </si>
  <si>
    <t>029C003328</t>
  </si>
  <si>
    <t>Trần Nam Phúc</t>
  </si>
  <si>
    <t>029C003329</t>
  </si>
  <si>
    <t>Trần Thu Hằng</t>
  </si>
  <si>
    <t>029C003331</t>
  </si>
  <si>
    <t>Phạm Thị Thùy Trang</t>
  </si>
  <si>
    <t>029C003332</t>
  </si>
  <si>
    <t>Nguyễn Thị Mỹ Duyên</t>
  </si>
  <si>
    <t>029C003735</t>
  </si>
  <si>
    <t>Lê Đức Anh</t>
  </si>
  <si>
    <t>029C003738</t>
  </si>
  <si>
    <t>Trần Gia Bảo</t>
  </si>
  <si>
    <t>029C003739</t>
  </si>
  <si>
    <t>Nguyễn Hoàng Hải</t>
  </si>
  <si>
    <t>029C003740</t>
  </si>
  <si>
    <t>Ngô Phương Thúy</t>
  </si>
  <si>
    <t>029C003923</t>
  </si>
  <si>
    <t>Nguyễn Thị Trà Mi</t>
  </si>
  <si>
    <t>029C003926</t>
  </si>
  <si>
    <t>Nguyễn Nhật Thanh</t>
  </si>
  <si>
    <t>Nguyễn Thanh Huyền</t>
  </si>
  <si>
    <t>029C003929</t>
  </si>
  <si>
    <t>Lê Thị Huyền Trang</t>
  </si>
  <si>
    <t>029C003930</t>
  </si>
  <si>
    <t>Phạm Thị Phương Anh</t>
  </si>
  <si>
    <t>029C003931</t>
  </si>
  <si>
    <t>Trần Quốc Hưng</t>
  </si>
  <si>
    <t>029C004151</t>
  </si>
  <si>
    <t>Phan Thị Hương Ly</t>
  </si>
  <si>
    <t>029C004290</t>
  </si>
  <si>
    <t>Bùi Huyền Trang</t>
  </si>
  <si>
    <t>029C008326</t>
  </si>
  <si>
    <t>Vũ Thị Hoàng Anh</t>
  </si>
  <si>
    <t>029C010368</t>
  </si>
  <si>
    <t>Trần Thành Đồng</t>
  </si>
  <si>
    <t>029C015904</t>
  </si>
  <si>
    <t>Luyện Huyền Anh</t>
  </si>
  <si>
    <t>029C020347</t>
  </si>
  <si>
    <t>Trần Bình Duyên</t>
  </si>
  <si>
    <t>029C050105</t>
  </si>
  <si>
    <t>Phạm Bá Hiệp</t>
  </si>
  <si>
    <t>029C070398</t>
  </si>
  <si>
    <t>Trương Thanh Hòa</t>
  </si>
  <si>
    <t>029C070585</t>
  </si>
  <si>
    <t>Vũ Minh Châu</t>
  </si>
  <si>
    <t>029C081206</t>
  </si>
  <si>
    <t>Nguyễn Hồng Ngọc Ánh</t>
  </si>
  <si>
    <t>029C100121</t>
  </si>
  <si>
    <t>Đỗ Xuân Hải</t>
  </si>
  <si>
    <t>029C100196</t>
  </si>
  <si>
    <t>Lê Ngọc Sơn</t>
  </si>
  <si>
    <t>029C110896</t>
  </si>
  <si>
    <t>Vũ Đức Anh</t>
  </si>
  <si>
    <t>029C121389</t>
  </si>
  <si>
    <t>Nguyễn Thảo Anh</t>
  </si>
  <si>
    <t>029C123589</t>
  </si>
  <si>
    <t>Phan Sỹ Quang</t>
  </si>
  <si>
    <t>029C131207</t>
  </si>
  <si>
    <t>Mai Thị Mai Na</t>
  </si>
  <si>
    <t>029C135791</t>
  </si>
  <si>
    <t>029C141198</t>
  </si>
  <si>
    <t>Lê Thị Thúy Hiền</t>
  </si>
  <si>
    <t>029C150703</t>
  </si>
  <si>
    <t>Nguyễn Thảo Phương</t>
  </si>
  <si>
    <t>029C161006</t>
  </si>
  <si>
    <t>Nguyễn Văn Nhật</t>
  </si>
  <si>
    <t>029C180106</t>
  </si>
  <si>
    <t>Nguyễn Thế Hoàng</t>
  </si>
  <si>
    <t>029C180705</t>
  </si>
  <si>
    <t>Trần Thu Thảo</t>
  </si>
  <si>
    <t>029C181995</t>
  </si>
  <si>
    <t>Trương Thu Hiền</t>
  </si>
  <si>
    <t>029C186969</t>
  </si>
  <si>
    <t>Hoàng Hưng Thịnh</t>
  </si>
  <si>
    <t>029C190106</t>
  </si>
  <si>
    <t>Lê Hoàng Hải Yến</t>
  </si>
  <si>
    <t>029C190605</t>
  </si>
  <si>
    <t>029C191204</t>
  </si>
  <si>
    <t>Lưu Đình Văn</t>
  </si>
  <si>
    <t>029C201907</t>
  </si>
  <si>
    <t>Nguyễn Thùy Linh</t>
  </si>
  <si>
    <t>029C210915</t>
  </si>
  <si>
    <t>Nguyễn Phương Liên</t>
  </si>
  <si>
    <t>029C212229</t>
  </si>
  <si>
    <t>Ngô Thị Tú Oanh</t>
  </si>
  <si>
    <t>029C216666</t>
  </si>
  <si>
    <t>Nguyễn Thanh Trang</t>
  </si>
  <si>
    <t>029C220305</t>
  </si>
  <si>
    <t>Nguyễn Diệu Anh</t>
  </si>
  <si>
    <t>029C220910</t>
  </si>
  <si>
    <t>Nguyễn Quốc Hy</t>
  </si>
  <si>
    <t>029C221977</t>
  </si>
  <si>
    <t>Dương Thị Hiền</t>
  </si>
  <si>
    <t>029C231889</t>
  </si>
  <si>
    <t>Nguyễn Duy Bảo Ngọc</t>
  </si>
  <si>
    <t>029C231963</t>
  </si>
  <si>
    <t>Đàm Long Trọng</t>
  </si>
  <si>
    <t>029C245245</t>
  </si>
  <si>
    <t>Nguyễn Thế Trung</t>
  </si>
  <si>
    <t>029C250600</t>
  </si>
  <si>
    <t>029C250906</t>
  </si>
  <si>
    <t>Mai Tuấn Minh</t>
  </si>
  <si>
    <t>029C270104</t>
  </si>
  <si>
    <t>Bùi Xuân Bắc</t>
  </si>
  <si>
    <t>029C270305</t>
  </si>
  <si>
    <t>Bùi Thị Như Quỳnh</t>
  </si>
  <si>
    <t>029C270423</t>
  </si>
  <si>
    <t>Phạm Mạnh Hưng</t>
  </si>
  <si>
    <t>029C278811</t>
  </si>
  <si>
    <t>Nguyễn Trà Hương</t>
  </si>
  <si>
    <t>029C281106</t>
  </si>
  <si>
    <t>Nguyễn Đoàn Anh</t>
  </si>
  <si>
    <t>029C298205</t>
  </si>
  <si>
    <t>Nguyễn Thị Phương Thảo</t>
  </si>
  <si>
    <t>029C300905</t>
  </si>
  <si>
    <t>Nguyễn Khánh Huyền</t>
  </si>
  <si>
    <t>029C387002</t>
  </si>
  <si>
    <t>Nguyễn Phương Anh</t>
  </si>
  <si>
    <t>029C442005</t>
  </si>
  <si>
    <t>Vũ Bảo Trân</t>
  </si>
  <si>
    <t>029C664444</t>
  </si>
  <si>
    <t>Hoàng Thế Quang</t>
  </si>
  <si>
    <t>029C686262</t>
  </si>
  <si>
    <t>Phạm Lê Thái Thượng</t>
  </si>
  <si>
    <t>029C866868</t>
  </si>
  <si>
    <t>Nguyễn Văn Đạt</t>
  </si>
  <si>
    <t>029C882006</t>
  </si>
  <si>
    <t>Đàm Thanh Ngân</t>
  </si>
  <si>
    <t>029C888832</t>
  </si>
  <si>
    <t>Hoàng Ngọc Luân</t>
  </si>
  <si>
    <t>029C913333</t>
  </si>
  <si>
    <t>Nguyễn Ngọc Đức</t>
  </si>
  <si>
    <t>029C967687</t>
  </si>
  <si>
    <t>Phạm Thị Ý Thu</t>
  </si>
  <si>
    <t>Tên KH</t>
  </si>
  <si>
    <t>Số TK lưu ký KH</t>
  </si>
  <si>
    <t>Mã CP</t>
  </si>
  <si>
    <t>Mã quản lý nhóm</t>
  </si>
  <si>
    <t xml:space="preserve">Trần Ngọc Trung </t>
  </si>
  <si>
    <t>DEAL</t>
  </si>
  <si>
    <t>VPB</t>
  </si>
  <si>
    <t>VPB0</t>
  </si>
  <si>
    <t>DEAL_VPB_0</t>
  </si>
  <si>
    <t xml:space="preserve">Lê Minh Anh </t>
  </si>
  <si>
    <t>MSB</t>
  </si>
  <si>
    <t>MSB0</t>
  </si>
  <si>
    <t>DEAL_MSB_0</t>
  </si>
  <si>
    <t>MSB1</t>
  </si>
  <si>
    <t>MSB2</t>
  </si>
  <si>
    <t>MSB3</t>
  </si>
  <si>
    <t>MSB4</t>
  </si>
  <si>
    <t>KHG</t>
  </si>
  <si>
    <t>KHG0</t>
  </si>
  <si>
    <t>DEAL_KHG_0</t>
  </si>
  <si>
    <t>KHG1</t>
  </si>
  <si>
    <t>KHG2</t>
  </si>
  <si>
    <t xml:space="preserve">Đinh Thị Nhật Hạnh </t>
  </si>
  <si>
    <t>KHG3</t>
  </si>
  <si>
    <t xml:space="preserve">Trương Minh Rạng </t>
  </si>
  <si>
    <t>KHG4</t>
  </si>
  <si>
    <t>VPI</t>
  </si>
  <si>
    <t>VPI0</t>
  </si>
  <si>
    <t>DEAL_VPI_0</t>
  </si>
  <si>
    <t>VPI1</t>
  </si>
  <si>
    <t>DEAL_VPI_1</t>
  </si>
  <si>
    <t>VPI2</t>
  </si>
  <si>
    <t>DEAL_VPI_2</t>
  </si>
  <si>
    <t>VPI3</t>
  </si>
  <si>
    <t>VPI4</t>
  </si>
  <si>
    <t>VPI5</t>
  </si>
  <si>
    <t>VPI6</t>
  </si>
  <si>
    <t>SHI</t>
  </si>
  <si>
    <t>SHI0</t>
  </si>
  <si>
    <t>DEAL_SHI_0</t>
  </si>
  <si>
    <t>VTZ</t>
  </si>
  <si>
    <t>VTZ0</t>
  </si>
  <si>
    <t>DEAL_VTZ_0</t>
  </si>
  <si>
    <t>KOS</t>
  </si>
  <si>
    <t>KOS0</t>
  </si>
  <si>
    <t>DEAL_KOS_0</t>
  </si>
  <si>
    <t>VIX</t>
  </si>
  <si>
    <t>VIX0</t>
  </si>
  <si>
    <t>DEAL_VIX_0</t>
  </si>
  <si>
    <t>BLUE</t>
  </si>
  <si>
    <t>BLUE0</t>
  </si>
  <si>
    <t>DEAL_BLUE_0</t>
  </si>
  <si>
    <t>BLUE1</t>
  </si>
  <si>
    <t>DEAL_BLUE_1</t>
  </si>
  <si>
    <t>NAF</t>
  </si>
  <si>
    <t>NAF1</t>
  </si>
  <si>
    <t>DEAL_NAF_1</t>
  </si>
  <si>
    <t>NAF0</t>
  </si>
  <si>
    <t>DEAL_NAF_0</t>
  </si>
  <si>
    <t>TPB</t>
  </si>
  <si>
    <t>TPB0</t>
  </si>
  <si>
    <t>DEAL_TPB_0</t>
  </si>
  <si>
    <t>TPB1</t>
  </si>
  <si>
    <t>DEAL_TPB_1</t>
  </si>
  <si>
    <t>DSE</t>
  </si>
  <si>
    <t>DSE0</t>
  </si>
  <si>
    <t>DEAL_DSE_0</t>
  </si>
  <si>
    <t>VPX</t>
  </si>
  <si>
    <t>VPX0</t>
  </si>
  <si>
    <t>DEAL_VPX_0</t>
  </si>
  <si>
    <t>RETAIL</t>
  </si>
  <si>
    <t>Standard</t>
  </si>
  <si>
    <t>RETAIL_STD_01</t>
  </si>
  <si>
    <t>VIP</t>
  </si>
  <si>
    <t>RETAIL_VIP_01</t>
  </si>
  <si>
    <t>Loại TK</t>
  </si>
  <si>
    <t>Nhóm KH</t>
  </si>
  <si>
    <t>Tên aftype</t>
  </si>
  <si>
    <t>Ký quỹ</t>
  </si>
  <si>
    <t>Ký quỹ - KH VIX</t>
  </si>
  <si>
    <t>Ký quỹ - KH NAG</t>
  </si>
  <si>
    <t>Ký quỹ - KH NAF</t>
  </si>
  <si>
    <t>Ký quỹ PB Eco saver</t>
  </si>
  <si>
    <t>Ký quỹ không gia hạn</t>
  </si>
  <si>
    <t>Ký quỹ - KH KHG</t>
  </si>
  <si>
    <t>Ký quỹ - KH AGG 2 - HO</t>
  </si>
  <si>
    <t>Ký quỹ - KH LN 10 - AD 11 - OD 0.1</t>
  </si>
  <si>
    <t>Ký quỹ - KH MSB</t>
  </si>
  <si>
    <t>Ký quỹ - KH NAB</t>
  </si>
  <si>
    <t>Ký quỹ - KH SSB</t>
  </si>
  <si>
    <t>Ký quỹ - KH TPB</t>
  </si>
  <si>
    <t>Ký quỹ - KH VPI</t>
  </si>
  <si>
    <t>Ký quỹ - KH DSE</t>
  </si>
  <si>
    <t>Ký quỹ - KH KOS</t>
  </si>
  <si>
    <t>Ký quỹ - KH VPX</t>
  </si>
  <si>
    <t>Ký quỹ - KH VTZ</t>
  </si>
  <si>
    <t>Ký quỹ - KH có đảo nợ</t>
  </si>
  <si>
    <t>Ký quỹ - KH VPI 2</t>
  </si>
  <si>
    <t>Kỹ quỹ - KH VPB</t>
  </si>
  <si>
    <t>Ký quỹ - KH PDR</t>
  </si>
  <si>
    <t>Số TK Lưu Ký</t>
  </si>
  <si>
    <t>Tên môi giới</t>
  </si>
  <si>
    <t/>
  </si>
  <si>
    <t>Số tiểu khoản</t>
  </si>
  <si>
    <t>029C000447.00</t>
  </si>
  <si>
    <t>029C000447.01</t>
  </si>
  <si>
    <t>029C000453.00</t>
  </si>
  <si>
    <t>029C000453.01</t>
  </si>
  <si>
    <t>029C000539.00</t>
  </si>
  <si>
    <t>029C000539.01</t>
  </si>
  <si>
    <t>029C001004.00</t>
  </si>
  <si>
    <t>029C001004.01</t>
  </si>
  <si>
    <t>029C001005.00</t>
  </si>
  <si>
    <t>029C001005.01</t>
  </si>
  <si>
    <t>029C001009.00</t>
  </si>
  <si>
    <t>029C001009.01</t>
  </si>
  <si>
    <t>029C001010.00</t>
  </si>
  <si>
    <t>029C001010.01</t>
  </si>
  <si>
    <t>029C001011.00</t>
  </si>
  <si>
    <t>029C001011.01</t>
  </si>
  <si>
    <t>029C001819.00</t>
  </si>
  <si>
    <t>029C001819.01</t>
  </si>
  <si>
    <t>029C001821.00</t>
  </si>
  <si>
    <t>029C001821.01</t>
  </si>
  <si>
    <t>029C001822.00</t>
  </si>
  <si>
    <t>029C001822.01</t>
  </si>
  <si>
    <t>029C001825.00</t>
  </si>
  <si>
    <t>029C001825.01</t>
  </si>
  <si>
    <t>029C001826.00</t>
  </si>
  <si>
    <t>029C001826.01</t>
  </si>
  <si>
    <t>029C001827.00</t>
  </si>
  <si>
    <t>029C001827.01</t>
  </si>
  <si>
    <t>029C001829.00</t>
  </si>
  <si>
    <t>029C001829.01</t>
  </si>
  <si>
    <t>029C002190.00</t>
  </si>
  <si>
    <t>029C002190.01</t>
  </si>
  <si>
    <t>029C002587.00</t>
  </si>
  <si>
    <t>029C002587.01</t>
  </si>
  <si>
    <t>029C003974.00</t>
  </si>
  <si>
    <t>029C003974.01</t>
  </si>
  <si>
    <t>029C004022.00</t>
  </si>
  <si>
    <t>029C004022.01</t>
  </si>
  <si>
    <t>029C006037.00</t>
  </si>
  <si>
    <t>029C006037.01</t>
  </si>
  <si>
    <t>029C011203.00</t>
  </si>
  <si>
    <t>029C011203.01</t>
  </si>
  <si>
    <t>029C012160.00</t>
  </si>
  <si>
    <t>029C012160.01</t>
  </si>
  <si>
    <t>029C015744.00</t>
  </si>
  <si>
    <t>029C015744.01</t>
  </si>
  <si>
    <t>029C030987.00</t>
  </si>
  <si>
    <t>029C030987.01</t>
  </si>
  <si>
    <t>029C091972.00</t>
  </si>
  <si>
    <t>029C091972.01</t>
  </si>
  <si>
    <t>029C104670.00</t>
  </si>
  <si>
    <t>029C104670.01</t>
  </si>
  <si>
    <t>029C108899.00</t>
  </si>
  <si>
    <t>029C108899.01</t>
  </si>
  <si>
    <t>029C111059.00</t>
  </si>
  <si>
    <t>029C111059.01</t>
  </si>
  <si>
    <t>029C181318.00</t>
  </si>
  <si>
    <t>029C181318.01</t>
  </si>
  <si>
    <t>029C186868.00</t>
  </si>
  <si>
    <t>029C186868.01</t>
  </si>
  <si>
    <t>029C188668.00</t>
  </si>
  <si>
    <t>029C188668.01</t>
  </si>
  <si>
    <t>029C258668.00</t>
  </si>
  <si>
    <t>029C258668.01</t>
  </si>
  <si>
    <t>029C300959.00</t>
  </si>
  <si>
    <t>029C300959.01</t>
  </si>
  <si>
    <t>029C381368.00</t>
  </si>
  <si>
    <t>029C381368.01</t>
  </si>
  <si>
    <t>029C678563.00</t>
  </si>
  <si>
    <t>029C678563.01</t>
  </si>
  <si>
    <t>029C696269.00</t>
  </si>
  <si>
    <t>029C696269.01</t>
  </si>
  <si>
    <t>029C696969.00</t>
  </si>
  <si>
    <t>029C696969.01</t>
  </si>
  <si>
    <t>029C779668.00</t>
  </si>
  <si>
    <t>029C779668.01</t>
  </si>
  <si>
    <t>029C866600.00</t>
  </si>
  <si>
    <t>029C866600.01</t>
  </si>
  <si>
    <t>029C000450.00</t>
  </si>
  <si>
    <t>029C000450.01</t>
  </si>
  <si>
    <t>029C000587.00</t>
  </si>
  <si>
    <t>029C000587.01</t>
  </si>
  <si>
    <t>029C000589.00</t>
  </si>
  <si>
    <t>029C000589.01</t>
  </si>
  <si>
    <t>029C000604.00</t>
  </si>
  <si>
    <t>029C000604.01</t>
  </si>
  <si>
    <t>029C004525.00</t>
  </si>
  <si>
    <t>029C004525.01</t>
  </si>
  <si>
    <t>029C005786.00</t>
  </si>
  <si>
    <t>029C005786.01</t>
  </si>
  <si>
    <t>029C006307.00</t>
  </si>
  <si>
    <t>029C006307.01</t>
  </si>
  <si>
    <t>029C006479.00</t>
  </si>
  <si>
    <t>029C006479.01</t>
  </si>
  <si>
    <t>029C024609.00</t>
  </si>
  <si>
    <t>029C024609.01</t>
  </si>
  <si>
    <t>029C024984.00</t>
  </si>
  <si>
    <t>029C024984.01</t>
  </si>
  <si>
    <t>029C041830.00</t>
  </si>
  <si>
    <t>029C041830.01</t>
  </si>
  <si>
    <t>029C161198.00</t>
  </si>
  <si>
    <t>029C161198.01</t>
  </si>
  <si>
    <t>029C181918.00</t>
  </si>
  <si>
    <t>029C181918.01</t>
  </si>
  <si>
    <t>029C201089.00</t>
  </si>
  <si>
    <t>029C201089.01</t>
  </si>
  <si>
    <t>029C256424.00</t>
  </si>
  <si>
    <t>029C256424.01</t>
  </si>
  <si>
    <t>029C302633.00</t>
  </si>
  <si>
    <t>029C302633.01</t>
  </si>
  <si>
    <t>029C377064.00</t>
  </si>
  <si>
    <t>029C377064.01</t>
  </si>
  <si>
    <t>029C588593.00</t>
  </si>
  <si>
    <t>029C588593.01</t>
  </si>
  <si>
    <t>029C715508.00</t>
  </si>
  <si>
    <t>029C715508.01</t>
  </si>
  <si>
    <t>029C001302.00</t>
  </si>
  <si>
    <t>029C001302.01</t>
  </si>
  <si>
    <t>029C001309.00</t>
  </si>
  <si>
    <t>029C001309.01</t>
  </si>
  <si>
    <t>029C001310.00</t>
  </si>
  <si>
    <t>029C001310.01</t>
  </si>
  <si>
    <t>029C001320.00</t>
  </si>
  <si>
    <t>029C001320.01</t>
  </si>
  <si>
    <t>029C001322.00</t>
  </si>
  <si>
    <t>029C001322.01</t>
  </si>
  <si>
    <t>029C001333.00</t>
  </si>
  <si>
    <t>029C001333.01</t>
  </si>
  <si>
    <t>029C001341.00</t>
  </si>
  <si>
    <t>029C001341.01</t>
  </si>
  <si>
    <t>029C001492.00</t>
  </si>
  <si>
    <t>029C001492.01</t>
  </si>
  <si>
    <t>029C001499.00</t>
  </si>
  <si>
    <t>029C001499.01</t>
  </si>
  <si>
    <t>029C001867.00</t>
  </si>
  <si>
    <t>029C001867.01</t>
  </si>
  <si>
    <t>029C001877.00</t>
  </si>
  <si>
    <t>029C001877.01</t>
  </si>
  <si>
    <t>029C182866.00</t>
  </si>
  <si>
    <t>029C182866.01</t>
  </si>
  <si>
    <t>029C183258.00</t>
  </si>
  <si>
    <t>029C183258.01</t>
  </si>
  <si>
    <t>029C186818.00</t>
  </si>
  <si>
    <t>029C186818.01</t>
  </si>
  <si>
    <t>029C662866.00</t>
  </si>
  <si>
    <t>029C662866.01</t>
  </si>
  <si>
    <t>029C950818.00</t>
  </si>
  <si>
    <t>029C950818.01</t>
  </si>
  <si>
    <t>029C004045.00</t>
  </si>
  <si>
    <t>029C004045.01</t>
  </si>
  <si>
    <t>029C003213.00</t>
  </si>
  <si>
    <t>029C003213.01</t>
  </si>
  <si>
    <t>029C003219.00</t>
  </si>
  <si>
    <t>029C003219.01</t>
  </si>
  <si>
    <t>029C003327.00</t>
  </si>
  <si>
    <t>029C003327.01</t>
  </si>
  <si>
    <t>029C003363.00</t>
  </si>
  <si>
    <t>029C003363.01</t>
  </si>
  <si>
    <t>029C003364.00</t>
  </si>
  <si>
    <t>029C003364.01</t>
  </si>
  <si>
    <t>029C003630.00</t>
  </si>
  <si>
    <t>029C003630.01</t>
  </si>
  <si>
    <t>029C003736.00</t>
  </si>
  <si>
    <t>029C003736.01</t>
  </si>
  <si>
    <t>029C003923.00</t>
  </si>
  <si>
    <t>029C003923.01</t>
  </si>
  <si>
    <t>029C003929.00</t>
  </si>
  <si>
    <t>029C003929.01</t>
  </si>
  <si>
    <t>029C003994.00</t>
  </si>
  <si>
    <t>029C003994.01</t>
  </si>
  <si>
    <t>029C002301.00</t>
  </si>
  <si>
    <t>029C002301.01</t>
  </si>
  <si>
    <t>029C002325.00</t>
  </si>
  <si>
    <t>029C002325.01</t>
  </si>
  <si>
    <t>029C002329.00</t>
  </si>
  <si>
    <t>029C002329.01</t>
  </si>
  <si>
    <t>029C002330.00</t>
  </si>
  <si>
    <t>029C002330.01</t>
  </si>
  <si>
    <t>029C002334.00</t>
  </si>
  <si>
    <t>029C002334.01</t>
  </si>
  <si>
    <t>029C002339.00</t>
  </si>
  <si>
    <t>029C002339.01</t>
  </si>
  <si>
    <t>029C002380.00</t>
  </si>
  <si>
    <t>029C002380.01</t>
  </si>
  <si>
    <t>029C002384.00</t>
  </si>
  <si>
    <t>029C002384.01</t>
  </si>
  <si>
    <t>029C014308.00</t>
  </si>
  <si>
    <t>029C014308.01</t>
  </si>
  <si>
    <t>029C141193.00</t>
  </si>
  <si>
    <t>029C141193.01</t>
  </si>
  <si>
    <t>029C180705.00</t>
  </si>
  <si>
    <t>029C180705.01</t>
  </si>
  <si>
    <t>029C181118.00</t>
  </si>
  <si>
    <t>029C181118.01</t>
  </si>
  <si>
    <t>029C181818.00</t>
  </si>
  <si>
    <t>029C181818.01</t>
  </si>
  <si>
    <t>029C190106.00</t>
  </si>
  <si>
    <t>029C190106.01</t>
  </si>
  <si>
    <t>029C190605.00</t>
  </si>
  <si>
    <t>029C190605.01</t>
  </si>
  <si>
    <t>029C270305.00</t>
  </si>
  <si>
    <t>029C270305.01</t>
  </si>
  <si>
    <t>029C280193.00</t>
  </si>
  <si>
    <t>029C280193.01</t>
  </si>
  <si>
    <t>029C736599.00</t>
  </si>
  <si>
    <t>029C736599.01</t>
  </si>
  <si>
    <t>029C001064.00</t>
  </si>
  <si>
    <t>029C001064.01</t>
  </si>
  <si>
    <t>029C001422.00</t>
  </si>
  <si>
    <t>029C001422.01</t>
  </si>
  <si>
    <t>029C001511.00</t>
  </si>
  <si>
    <t>029C001511.01</t>
  </si>
  <si>
    <t>029C001520.00</t>
  </si>
  <si>
    <t>029C001520.01</t>
  </si>
  <si>
    <t>029C001542.00</t>
  </si>
  <si>
    <t>029C001542.01</t>
  </si>
  <si>
    <t>029C001565.00</t>
  </si>
  <si>
    <t>029C001565.01</t>
  </si>
  <si>
    <t>029C001566.00</t>
  </si>
  <si>
    <t>029C001566.01</t>
  </si>
  <si>
    <t>029C001567.00</t>
  </si>
  <si>
    <t>029C001567.01</t>
  </si>
  <si>
    <t>029C001569.00</t>
  </si>
  <si>
    <t>029C001569.01</t>
  </si>
  <si>
    <t>029C001570.00</t>
  </si>
  <si>
    <t>029C001570.01</t>
  </si>
  <si>
    <t>029C001586.00</t>
  </si>
  <si>
    <t>029C001586.01</t>
  </si>
  <si>
    <t>029C001592.00</t>
  </si>
  <si>
    <t>029C001592.01</t>
  </si>
  <si>
    <t>029C001595.00</t>
  </si>
  <si>
    <t>029C001595.01</t>
  </si>
  <si>
    <t>029C001598.00</t>
  </si>
  <si>
    <t>029C001598.01</t>
  </si>
  <si>
    <t>029C001599.00</t>
  </si>
  <si>
    <t>029C001599.01</t>
  </si>
  <si>
    <t>029C001600.00</t>
  </si>
  <si>
    <t>029C001600.01</t>
  </si>
  <si>
    <t>029C001601.00</t>
  </si>
  <si>
    <t>029C001601.01</t>
  </si>
  <si>
    <t>029C001621.00</t>
  </si>
  <si>
    <t>029C001621.01</t>
  </si>
  <si>
    <t>029C004426.00</t>
  </si>
  <si>
    <t>029C004426.01</t>
  </si>
  <si>
    <t>029C071088.00</t>
  </si>
  <si>
    <t>029C071088.01</t>
  </si>
  <si>
    <t>029C214692.00</t>
  </si>
  <si>
    <t>029C214692.01</t>
  </si>
  <si>
    <t>029C240185.00</t>
  </si>
  <si>
    <t>029C240185.01</t>
  </si>
  <si>
    <t>029C361828.00</t>
  </si>
  <si>
    <t>029C361828.01</t>
  </si>
  <si>
    <t>029C001541.00</t>
  </si>
  <si>
    <t>029C001541.01</t>
  </si>
  <si>
    <t>029C000428.00</t>
  </si>
  <si>
    <t>029C000428.01</t>
  </si>
  <si>
    <t>029C003931.00</t>
  </si>
  <si>
    <t>029C003931.01</t>
  </si>
  <si>
    <t>029C004030.00</t>
  </si>
  <si>
    <t>029C004030.01</t>
  </si>
  <si>
    <t>029C004290.00</t>
  </si>
  <si>
    <t>029C004290.01</t>
  </si>
  <si>
    <t>029C131207.00</t>
  </si>
  <si>
    <t>029C131207.01</t>
  </si>
  <si>
    <t>029C201907.00</t>
  </si>
  <si>
    <t>029C201907.01</t>
  </si>
  <si>
    <t>029C387002.00</t>
  </si>
  <si>
    <t>029C387002.01</t>
  </si>
  <si>
    <t>029C003926.00</t>
  </si>
  <si>
    <t>029C003926.01</t>
  </si>
  <si>
    <t>029C003930.00</t>
  </si>
  <si>
    <t>029C003930.01</t>
  </si>
  <si>
    <t>029C001007.00</t>
  </si>
  <si>
    <t>029C001007.01</t>
  </si>
  <si>
    <t>029C001197.00</t>
  </si>
  <si>
    <t>029C001197.01</t>
  </si>
  <si>
    <t>029C001199.00</t>
  </si>
  <si>
    <t>029C001199.01</t>
  </si>
  <si>
    <t>029C001200.00</t>
  </si>
  <si>
    <t>029C001200.01</t>
  </si>
  <si>
    <t>029C001201.00</t>
  </si>
  <si>
    <t>029C001201.01</t>
  </si>
  <si>
    <t>029C001202.00</t>
  </si>
  <si>
    <t>029C001202.01</t>
  </si>
  <si>
    <t>029C001203.00</t>
  </si>
  <si>
    <t>029C001203.01</t>
  </si>
  <si>
    <t>029C001204.00</t>
  </si>
  <si>
    <t>029C001204.01</t>
  </si>
  <si>
    <t>029C001205.00</t>
  </si>
  <si>
    <t>029C001205.01</t>
  </si>
  <si>
    <t>029C001207.00</t>
  </si>
  <si>
    <t>029C001207.01</t>
  </si>
  <si>
    <t>029C001209.00</t>
  </si>
  <si>
    <t>029C001209.01</t>
  </si>
  <si>
    <t>029C001210.00</t>
  </si>
  <si>
    <t>029C001210.01</t>
  </si>
  <si>
    <t>029C001211.00</t>
  </si>
  <si>
    <t>029C001211.01</t>
  </si>
  <si>
    <t>029C001212.00</t>
  </si>
  <si>
    <t>029C001212.01</t>
  </si>
  <si>
    <t>029C001213.00</t>
  </si>
  <si>
    <t>029C001213.01</t>
  </si>
  <si>
    <t>029C001215.00</t>
  </si>
  <si>
    <t>029C001215.01</t>
  </si>
  <si>
    <t>029C001216.00</t>
  </si>
  <si>
    <t>029C001216.01</t>
  </si>
  <si>
    <t>029C001217.00</t>
  </si>
  <si>
    <t>029C001217.01</t>
  </si>
  <si>
    <t>029C001218.00</t>
  </si>
  <si>
    <t>029C001218.01</t>
  </si>
  <si>
    <t>029C001219.00</t>
  </si>
  <si>
    <t>029C001219.01</t>
  </si>
  <si>
    <t>029C001220.00</t>
  </si>
  <si>
    <t>029C001220.01</t>
  </si>
  <si>
    <t>029C001221.00</t>
  </si>
  <si>
    <t>029C001221.01</t>
  </si>
  <si>
    <t>029C001222.00</t>
  </si>
  <si>
    <t>029C001222.01</t>
  </si>
  <si>
    <t>029C001223.00</t>
  </si>
  <si>
    <t>029C001223.01</t>
  </si>
  <si>
    <t>029C001224.00</t>
  </si>
  <si>
    <t>029C001224.01</t>
  </si>
  <si>
    <t>029C001225.00</t>
  </si>
  <si>
    <t>029C001225.01</t>
  </si>
  <si>
    <t>029C001226.00</t>
  </si>
  <si>
    <t>029C001226.01</t>
  </si>
  <si>
    <t>029C001227.00</t>
  </si>
  <si>
    <t>029C001227.01</t>
  </si>
  <si>
    <t>029C001228.00</t>
  </si>
  <si>
    <t>029C001228.01</t>
  </si>
  <si>
    <t>029C001343.00</t>
  </si>
  <si>
    <t>029C001343.01</t>
  </si>
  <si>
    <t>029C001848.00</t>
  </si>
  <si>
    <t>029C001848.01</t>
  </si>
  <si>
    <t>029C001856.00</t>
  </si>
  <si>
    <t>029C001856.01</t>
  </si>
  <si>
    <t>029C001887.00</t>
  </si>
  <si>
    <t>029C001887.01</t>
  </si>
  <si>
    <t>029C001888.00</t>
  </si>
  <si>
    <t>029C001888.01</t>
  </si>
  <si>
    <t>029C001889.00</t>
  </si>
  <si>
    <t>029C001889.01</t>
  </si>
  <si>
    <t>029C001890.00</t>
  </si>
  <si>
    <t>029C001890.01</t>
  </si>
  <si>
    <t>029C001892.00</t>
  </si>
  <si>
    <t>029C001892.01</t>
  </si>
  <si>
    <t>029C001893.00</t>
  </si>
  <si>
    <t>029C001893.01</t>
  </si>
  <si>
    <t>029C001896.00</t>
  </si>
  <si>
    <t>029C001896.01</t>
  </si>
  <si>
    <t>029C001898.00</t>
  </si>
  <si>
    <t>029C001898.01</t>
  </si>
  <si>
    <t>029C001900.00</t>
  </si>
  <si>
    <t>029C001900.01</t>
  </si>
  <si>
    <t>029C001902.00</t>
  </si>
  <si>
    <t>029C001902.01</t>
  </si>
  <si>
    <t>029C001953.00</t>
  </si>
  <si>
    <t>029C001953.01</t>
  </si>
  <si>
    <t>029C001991.00</t>
  </si>
  <si>
    <t>029C001991.01</t>
  </si>
  <si>
    <t>029C001993.00</t>
  </si>
  <si>
    <t>029C001993.01</t>
  </si>
  <si>
    <t>029C001997.00</t>
  </si>
  <si>
    <t>029C001997.01</t>
  </si>
  <si>
    <t>029C002001.00</t>
  </si>
  <si>
    <t>029C002001.01</t>
  </si>
  <si>
    <t>029C002102.00</t>
  </si>
  <si>
    <t>029C002102.01</t>
  </si>
  <si>
    <t>029C002102 .00</t>
  </si>
  <si>
    <t>029C002102 .01</t>
  </si>
  <si>
    <t>029C002239.00</t>
  </si>
  <si>
    <t>029C002239.01</t>
  </si>
  <si>
    <t>029C002312.00</t>
  </si>
  <si>
    <t>029C002312.01</t>
  </si>
  <si>
    <t>029C002333.00</t>
  </si>
  <si>
    <t>029C002333.01</t>
  </si>
  <si>
    <t>029C002337.00</t>
  </si>
  <si>
    <t>029C002337.01</t>
  </si>
  <si>
    <t>029C002342.00</t>
  </si>
  <si>
    <t>029C002342.01</t>
  </si>
  <si>
    <t>029C002354.00</t>
  </si>
  <si>
    <t>029C002354.01</t>
  </si>
  <si>
    <t>029C003325.00</t>
  </si>
  <si>
    <t>029C003325.01</t>
  </si>
  <si>
    <t>029C003328.00</t>
  </si>
  <si>
    <t>029C003328.01</t>
  </si>
  <si>
    <t>029C003329.00</t>
  </si>
  <si>
    <t>029C003329.01</t>
  </si>
  <si>
    <t>029C003331.00</t>
  </si>
  <si>
    <t>029C003331.01</t>
  </si>
  <si>
    <t>029C003332.00</t>
  </si>
  <si>
    <t>029C003332.01</t>
  </si>
  <si>
    <t>029C003358.00</t>
  </si>
  <si>
    <t>029C003358.01</t>
  </si>
  <si>
    <t>029C003502.00</t>
  </si>
  <si>
    <t>029C003502.01</t>
  </si>
  <si>
    <t>029C003552.00</t>
  </si>
  <si>
    <t>029C003552.01</t>
  </si>
  <si>
    <t>029C003573.00</t>
  </si>
  <si>
    <t>029C003573.01</t>
  </si>
  <si>
    <t>029C003618.00</t>
  </si>
  <si>
    <t>029C003618.01</t>
  </si>
  <si>
    <t>029C003735.00</t>
  </si>
  <si>
    <t>029C003735.01</t>
  </si>
  <si>
    <t>029C003738.00</t>
  </si>
  <si>
    <t>029C003738.01</t>
  </si>
  <si>
    <t>029C003739.00</t>
  </si>
  <si>
    <t>029C003739.01</t>
  </si>
  <si>
    <t>029C003740.00</t>
  </si>
  <si>
    <t>029C003740.01</t>
  </si>
  <si>
    <t>029C008326.00</t>
  </si>
  <si>
    <t>029C008326.01</t>
  </si>
  <si>
    <t>029C008526.00</t>
  </si>
  <si>
    <t>029C008526.01</t>
  </si>
  <si>
    <t>029C010368.00</t>
  </si>
  <si>
    <t>029C010368.01</t>
  </si>
  <si>
    <t>029C015323.00</t>
  </si>
  <si>
    <t>029C015323.01</t>
  </si>
  <si>
    <t>029C018883.00</t>
  </si>
  <si>
    <t>029C018883.01</t>
  </si>
  <si>
    <t>029C021207.00</t>
  </si>
  <si>
    <t>029C021207.01</t>
  </si>
  <si>
    <t>029C040858.00</t>
  </si>
  <si>
    <t>029C040858.01</t>
  </si>
  <si>
    <t>029C050105.00</t>
  </si>
  <si>
    <t>029C050105.01</t>
  </si>
  <si>
    <t>029C135791.00</t>
  </si>
  <si>
    <t>029C135791.01</t>
  </si>
  <si>
    <t>029C170785.00</t>
  </si>
  <si>
    <t>029C170785.01</t>
  </si>
  <si>
    <t>029C181018.00</t>
  </si>
  <si>
    <t>029C181018.01</t>
  </si>
  <si>
    <t>029C181218.00</t>
  </si>
  <si>
    <t>029C181218.01</t>
  </si>
  <si>
    <t>029C181518.00</t>
  </si>
  <si>
    <t>029C181518.01</t>
  </si>
  <si>
    <t>029C186789.00</t>
  </si>
  <si>
    <t>029C186789.01</t>
  </si>
  <si>
    <t>029C220612.00</t>
  </si>
  <si>
    <t>029C220612.01</t>
  </si>
  <si>
    <t>029C260202.00</t>
  </si>
  <si>
    <t>029C260202.01</t>
  </si>
  <si>
    <t>029C281106.00</t>
  </si>
  <si>
    <t>029C281106.01</t>
  </si>
  <si>
    <t>029C298205.00</t>
  </si>
  <si>
    <t>029C298205.01</t>
  </si>
  <si>
    <t>029C311975.00</t>
  </si>
  <si>
    <t>029C311975.01</t>
  </si>
  <si>
    <t>029C393939.00</t>
  </si>
  <si>
    <t>029C393939.01</t>
  </si>
  <si>
    <t>029C461989.00</t>
  </si>
  <si>
    <t>029C461989.01</t>
  </si>
  <si>
    <t>029C686262.00</t>
  </si>
  <si>
    <t>029C686262.01</t>
  </si>
  <si>
    <t>029C751733.00</t>
  </si>
  <si>
    <t>029C751733.01</t>
  </si>
  <si>
    <t>029C770144.00</t>
  </si>
  <si>
    <t>029C770144.01</t>
  </si>
  <si>
    <t>029C846886.00</t>
  </si>
  <si>
    <t>029C846886.01</t>
  </si>
  <si>
    <t>029C907005.00</t>
  </si>
  <si>
    <t>029C907005.01</t>
  </si>
  <si>
    <t>029C939393.00</t>
  </si>
  <si>
    <t>029C939393.01</t>
  </si>
  <si>
    <t>029C992961.00</t>
  </si>
  <si>
    <t>029C992961.01</t>
  </si>
  <si>
    <t>029C002305.00</t>
  </si>
  <si>
    <t>029C002305.01</t>
  </si>
  <si>
    <t>029C002318.00</t>
  </si>
  <si>
    <t>029C002318.01</t>
  </si>
  <si>
    <t>029C002323.00</t>
  </si>
  <si>
    <t>029C002323.01</t>
  </si>
  <si>
    <t>029C002336.00</t>
  </si>
  <si>
    <t>029C002336.01</t>
  </si>
  <si>
    <t>029C002341.00</t>
  </si>
  <si>
    <t>029C002341.01</t>
  </si>
  <si>
    <t>029C002343.00</t>
  </si>
  <si>
    <t>029C002343.01</t>
  </si>
  <si>
    <t>029C002344.00</t>
  </si>
  <si>
    <t>029C002344.01</t>
  </si>
  <si>
    <t>029C081206.00</t>
  </si>
  <si>
    <t>029C081206.01</t>
  </si>
  <si>
    <t>029C212229.00</t>
  </si>
  <si>
    <t>029C212229.01</t>
  </si>
  <si>
    <t>029C216666.00</t>
  </si>
  <si>
    <t>029C216666.01</t>
  </si>
  <si>
    <t>029C002474.00</t>
  </si>
  <si>
    <t>029C002474.01</t>
  </si>
  <si>
    <t>029C002758.00</t>
  </si>
  <si>
    <t>029C002758.01</t>
  </si>
  <si>
    <t>029C015904.00</t>
  </si>
  <si>
    <t>029C015904.01</t>
  </si>
  <si>
    <t>029C278811.00</t>
  </si>
  <si>
    <t>029C278811.01</t>
  </si>
  <si>
    <t>029C001059.00</t>
  </si>
  <si>
    <t>029C001059.01</t>
  </si>
  <si>
    <t>029C001062.00</t>
  </si>
  <si>
    <t>029C001062.01</t>
  </si>
  <si>
    <t>029C001063.00</t>
  </si>
  <si>
    <t>029C001063.01</t>
  </si>
  <si>
    <t>029C002383.00</t>
  </si>
  <si>
    <t>029C002383.01</t>
  </si>
  <si>
    <t>029C003982.00</t>
  </si>
  <si>
    <t>029C003982.01</t>
  </si>
  <si>
    <t>029C006370.00</t>
  </si>
  <si>
    <t>029C006370.01</t>
  </si>
  <si>
    <t>029C009926.00</t>
  </si>
  <si>
    <t>029C009926.01</t>
  </si>
  <si>
    <t>029C028216.00</t>
  </si>
  <si>
    <t>029C028216.01</t>
  </si>
  <si>
    <t>029C281777.00</t>
  </si>
  <si>
    <t>029C281777.01</t>
  </si>
  <si>
    <t>029C992471.00</t>
  </si>
  <si>
    <t>029C992471.01</t>
  </si>
  <si>
    <t>029C002037.00</t>
  </si>
  <si>
    <t>029C002037.01</t>
  </si>
  <si>
    <t>029C123589.00</t>
  </si>
  <si>
    <t>029C123589.01</t>
  </si>
  <si>
    <t>029C220910.00</t>
  </si>
  <si>
    <t>029C220910.01</t>
  </si>
  <si>
    <t>029C866868.00</t>
  </si>
  <si>
    <t>029C866868.01</t>
  </si>
  <si>
    <t>029C779979.00</t>
  </si>
  <si>
    <t>029C779979.01</t>
  </si>
  <si>
    <t>029C001066.00</t>
  </si>
  <si>
    <t>029C001066.01</t>
  </si>
  <si>
    <t>029C001607.00</t>
  </si>
  <si>
    <t>029C001607.01</t>
  </si>
  <si>
    <t>029C001608.00</t>
  </si>
  <si>
    <t>029C001608.01</t>
  </si>
  <si>
    <t>029C001758.00</t>
  </si>
  <si>
    <t>029C001758.01</t>
  </si>
  <si>
    <t>029C001759.00</t>
  </si>
  <si>
    <t>029C001759.01</t>
  </si>
  <si>
    <t>029C001760.00</t>
  </si>
  <si>
    <t>029C001760.01</t>
  </si>
  <si>
    <t>029C001761.00</t>
  </si>
  <si>
    <t>029C001761.01</t>
  </si>
  <si>
    <t>029C001762.00</t>
  </si>
  <si>
    <t>029C001762.01</t>
  </si>
  <si>
    <t>029C001763.00</t>
  </si>
  <si>
    <t>029C001763.01</t>
  </si>
  <si>
    <t>029C001765.00</t>
  </si>
  <si>
    <t>029C001765.01</t>
  </si>
  <si>
    <t>029C001767.00</t>
  </si>
  <si>
    <t>029C001767.01</t>
  </si>
  <si>
    <t>029C001791.00</t>
  </si>
  <si>
    <t>029C001791.01</t>
  </si>
  <si>
    <t>029C001799.00</t>
  </si>
  <si>
    <t>029C001799.01</t>
  </si>
  <si>
    <t>029C001800.00</t>
  </si>
  <si>
    <t>029C001800.01</t>
  </si>
  <si>
    <t>029C001874.00</t>
  </si>
  <si>
    <t>029C001874.01</t>
  </si>
  <si>
    <t>029C001875.00</t>
  </si>
  <si>
    <t>029C001875.01</t>
  </si>
  <si>
    <t>029C001876.00</t>
  </si>
  <si>
    <t>029C001876.01</t>
  </si>
  <si>
    <t>029C001878.00</t>
  </si>
  <si>
    <t>029C001878.01</t>
  </si>
  <si>
    <t>029C001880.00</t>
  </si>
  <si>
    <t>029C001880.01</t>
  </si>
  <si>
    <t>029C001881.00</t>
  </si>
  <si>
    <t>029C001881.01</t>
  </si>
  <si>
    <t>029C001884.00</t>
  </si>
  <si>
    <t>029C001884.01</t>
  </si>
  <si>
    <t>029C001885.00</t>
  </si>
  <si>
    <t>029C001885.01</t>
  </si>
  <si>
    <t>029C001886.00</t>
  </si>
  <si>
    <t>029C001886.01</t>
  </si>
  <si>
    <t>029C001934.00</t>
  </si>
  <si>
    <t>029C001934.01</t>
  </si>
  <si>
    <t>029C001939.00</t>
  </si>
  <si>
    <t>029C001939.01</t>
  </si>
  <si>
    <t>029C001942.00</t>
  </si>
  <si>
    <t>029C001942.01</t>
  </si>
  <si>
    <t>029C001945.00</t>
  </si>
  <si>
    <t>029C001945.01</t>
  </si>
  <si>
    <t>029C001999.00</t>
  </si>
  <si>
    <t>029C001999.01</t>
  </si>
  <si>
    <t>029C002007.00</t>
  </si>
  <si>
    <t>029C002007.01</t>
  </si>
  <si>
    <t>029C002013.00</t>
  </si>
  <si>
    <t>029C002013.01</t>
  </si>
  <si>
    <t>029C002017.00</t>
  </si>
  <si>
    <t>029C002017.01</t>
  </si>
  <si>
    <t>029C002020.00</t>
  </si>
  <si>
    <t>029C002020.01</t>
  </si>
  <si>
    <t>029C002021.00</t>
  </si>
  <si>
    <t>029C002021.01</t>
  </si>
  <si>
    <t>029C002035.00</t>
  </si>
  <si>
    <t>029C002035.01</t>
  </si>
  <si>
    <t>029C002114.00</t>
  </si>
  <si>
    <t>029C002114.01</t>
  </si>
  <si>
    <t>029C002138.00</t>
  </si>
  <si>
    <t>029C002138.01</t>
  </si>
  <si>
    <t>029C002213.00</t>
  </si>
  <si>
    <t>029C002213.01</t>
  </si>
  <si>
    <t>029C002262.00</t>
  </si>
  <si>
    <t>029C002262.01</t>
  </si>
  <si>
    <t>029C002276.00</t>
  </si>
  <si>
    <t>029C002276.01</t>
  </si>
  <si>
    <t>029C002277.00</t>
  </si>
  <si>
    <t>029C002277.01</t>
  </si>
  <si>
    <t>029C002280.00</t>
  </si>
  <si>
    <t>029C002280.01</t>
  </si>
  <si>
    <t>029C002315.00</t>
  </si>
  <si>
    <t>029C002315.01</t>
  </si>
  <si>
    <t>029C002332.00</t>
  </si>
  <si>
    <t>029C002332.01</t>
  </si>
  <si>
    <t>029C002345.00</t>
  </si>
  <si>
    <t>029C002345.01</t>
  </si>
  <si>
    <t>029C002346.00</t>
  </si>
  <si>
    <t>029C002346.01</t>
  </si>
  <si>
    <t>029C002358.00</t>
  </si>
  <si>
    <t>029C002358.01</t>
  </si>
  <si>
    <t>029C002360.00</t>
  </si>
  <si>
    <t>029C002360.01</t>
  </si>
  <si>
    <t>029C002371.00</t>
  </si>
  <si>
    <t>029C002371.01</t>
  </si>
  <si>
    <t>029C002372.00</t>
  </si>
  <si>
    <t>029C002372.01</t>
  </si>
  <si>
    <t>029C002407.00</t>
  </si>
  <si>
    <t>029C002407.01</t>
  </si>
  <si>
    <t>029C002476.00</t>
  </si>
  <si>
    <t>029C002476.01</t>
  </si>
  <si>
    <t>029C002477.00</t>
  </si>
  <si>
    <t>029C002477.01</t>
  </si>
  <si>
    <t>029C002689.00</t>
  </si>
  <si>
    <t>029C002689.01</t>
  </si>
  <si>
    <t>029C003321.00</t>
  </si>
  <si>
    <t>029C003321.01</t>
  </si>
  <si>
    <t>029C003322.00</t>
  </si>
  <si>
    <t>029C003322.01</t>
  </si>
  <si>
    <t>029C003326.00</t>
  </si>
  <si>
    <t>029C003326.01</t>
  </si>
  <si>
    <t>029C004151.00</t>
  </si>
  <si>
    <t>029C004151.01</t>
  </si>
  <si>
    <t>029C020347.00</t>
  </si>
  <si>
    <t>029C020347.01</t>
  </si>
  <si>
    <t>029C070398.00</t>
  </si>
  <si>
    <t>029C070398.01</t>
  </si>
  <si>
    <t>029C070585.00</t>
  </si>
  <si>
    <t>029C070585.01</t>
  </si>
  <si>
    <t>029C100121.00</t>
  </si>
  <si>
    <t>029C100121.01</t>
  </si>
  <si>
    <t>029C100196.00</t>
  </si>
  <si>
    <t>029C100196.01</t>
  </si>
  <si>
    <t>029C110896.00</t>
  </si>
  <si>
    <t>029C110896.01</t>
  </si>
  <si>
    <t>029C121389.00</t>
  </si>
  <si>
    <t>029C121389.01</t>
  </si>
  <si>
    <t>029C141198.00</t>
  </si>
  <si>
    <t>029C141198.01</t>
  </si>
  <si>
    <t>029C150703.00</t>
  </si>
  <si>
    <t>029C150703.01</t>
  </si>
  <si>
    <t>029C161006.00</t>
  </si>
  <si>
    <t>029C161006.01</t>
  </si>
  <si>
    <t>029C180106.00</t>
  </si>
  <si>
    <t>029C180106.01</t>
  </si>
  <si>
    <t>029C181995.00</t>
  </si>
  <si>
    <t>029C181995.01</t>
  </si>
  <si>
    <t>029C186969.00</t>
  </si>
  <si>
    <t>029C186969.01</t>
  </si>
  <si>
    <t>029C191204.00</t>
  </si>
  <si>
    <t>029C191204.01</t>
  </si>
  <si>
    <t>029C210915.00</t>
  </si>
  <si>
    <t>029C210915.01</t>
  </si>
  <si>
    <t>029C220305.00</t>
  </si>
  <si>
    <t>029C220305.01</t>
  </si>
  <si>
    <t>029C221977.00</t>
  </si>
  <si>
    <t>029C221977.01</t>
  </si>
  <si>
    <t>029C231889.00</t>
  </si>
  <si>
    <t>029C231889.01</t>
  </si>
  <si>
    <t>029C231963.00</t>
  </si>
  <si>
    <t>029C231963.01</t>
  </si>
  <si>
    <t>029C245245.00</t>
  </si>
  <si>
    <t>029C245245.01</t>
  </si>
  <si>
    <t>029C250600.00</t>
  </si>
  <si>
    <t>029C250600.01</t>
  </si>
  <si>
    <t>029C250906.00</t>
  </si>
  <si>
    <t>029C250906.01</t>
  </si>
  <si>
    <t>029C270104.00</t>
  </si>
  <si>
    <t>029C270104.01</t>
  </si>
  <si>
    <t>029C270423.00</t>
  </si>
  <si>
    <t>029C270423.01</t>
  </si>
  <si>
    <t>029C300905.00</t>
  </si>
  <si>
    <t>029C300905.01</t>
  </si>
  <si>
    <t>029C442005.00</t>
  </si>
  <si>
    <t>029C442005.01</t>
  </si>
  <si>
    <t>029C664444.00</t>
  </si>
  <si>
    <t>029C664444.01</t>
  </si>
  <si>
    <t>029C882006.00</t>
  </si>
  <si>
    <t>029C882006.01</t>
  </si>
  <si>
    <t>029C888832.00</t>
  </si>
  <si>
    <t>029C888832.01</t>
  </si>
  <si>
    <t>029C913333.00</t>
  </si>
  <si>
    <t>029C913333.01</t>
  </si>
  <si>
    <t>029C967687.00</t>
  </si>
  <si>
    <t>029C967687.01</t>
  </si>
  <si>
    <t>029C002214.00</t>
  </si>
  <si>
    <t>029C002214.01</t>
  </si>
  <si>
    <t>029C002382.00</t>
  </si>
  <si>
    <t>029C002382.01</t>
  </si>
  <si>
    <t>029C002947.00</t>
  </si>
  <si>
    <t>029C002947.01</t>
  </si>
  <si>
    <t>029C037409.00</t>
  </si>
  <si>
    <t>029C037409.01</t>
  </si>
  <si>
    <t>029C187129.00</t>
  </si>
  <si>
    <t>029C187129.01</t>
  </si>
  <si>
    <t>029C270880.00</t>
  </si>
  <si>
    <t>029C270880.01</t>
  </si>
  <si>
    <t>029C274480.00</t>
  </si>
  <si>
    <t>029C274480.01</t>
  </si>
  <si>
    <t>029C363449.00</t>
  </si>
  <si>
    <t>029C363449.01</t>
  </si>
  <si>
    <t>029C001017.00</t>
  </si>
  <si>
    <t>029C001017.01</t>
  </si>
  <si>
    <t>029C001067.00</t>
  </si>
  <si>
    <t>029C001067.01</t>
  </si>
  <si>
    <t>029C001301.00</t>
  </si>
  <si>
    <t>029C001301.01</t>
  </si>
  <si>
    <t>029C001841.00</t>
  </si>
  <si>
    <t>029C001841.01</t>
  </si>
  <si>
    <t>029C001842.00</t>
  </si>
  <si>
    <t>029C001842.01</t>
  </si>
  <si>
    <t>029C001843.00</t>
  </si>
  <si>
    <t>029C001843.01</t>
  </si>
  <si>
    <t>029C001844.00</t>
  </si>
  <si>
    <t>029C001844.01</t>
  </si>
  <si>
    <t>029C001845.00</t>
  </si>
  <si>
    <t>029C001845.01</t>
  </si>
  <si>
    <t>029C001846.00</t>
  </si>
  <si>
    <t>029C001846.01</t>
  </si>
  <si>
    <t>029C001847.00</t>
  </si>
  <si>
    <t>029C001847.01</t>
  </si>
  <si>
    <t>029C001915.00</t>
  </si>
  <si>
    <t>029C001915.01</t>
  </si>
  <si>
    <t>029C001928.00</t>
  </si>
  <si>
    <t>029C001928.01</t>
  </si>
  <si>
    <t>029C001935.00</t>
  </si>
  <si>
    <t>029C001935.01</t>
  </si>
  <si>
    <t>029C001938.00</t>
  </si>
  <si>
    <t>029C001938.01</t>
  </si>
  <si>
    <t>029C001941.00</t>
  </si>
  <si>
    <t>029C001941.01</t>
  </si>
  <si>
    <t>029C001947.00</t>
  </si>
  <si>
    <t>029C001947.01</t>
  </si>
  <si>
    <t>029C001952.00</t>
  </si>
  <si>
    <t>029C001952.01</t>
  </si>
  <si>
    <t>029C001960.00</t>
  </si>
  <si>
    <t>029C001960.01</t>
  </si>
  <si>
    <t>029C001961.00</t>
  </si>
  <si>
    <t>029C001961.01</t>
  </si>
  <si>
    <t>029C001990.00</t>
  </si>
  <si>
    <t>029C001990.01</t>
  </si>
  <si>
    <t>029C002004.00</t>
  </si>
  <si>
    <t>029C002004.01</t>
  </si>
  <si>
    <t>029C002008.00</t>
  </si>
  <si>
    <t>029C002008.01</t>
  </si>
  <si>
    <t>029C003168.00</t>
  </si>
  <si>
    <t>029C003168.01</t>
  </si>
  <si>
    <t>029C009869.00</t>
  </si>
  <si>
    <t>029C009869.01</t>
  </si>
  <si>
    <t>029C150300.00</t>
  </si>
  <si>
    <t>029C150300.01</t>
  </si>
  <si>
    <t>029C163663.00</t>
  </si>
  <si>
    <t>029C163663.01</t>
  </si>
  <si>
    <t>029C184467.00</t>
  </si>
  <si>
    <t>029C184467.01</t>
  </si>
  <si>
    <t>029C190802.00</t>
  </si>
  <si>
    <t>029C190802.01</t>
  </si>
  <si>
    <t>029C565566.00</t>
  </si>
  <si>
    <t>029C565566.01</t>
  </si>
  <si>
    <t>029C782002.00</t>
  </si>
  <si>
    <t>029C782002.01</t>
  </si>
  <si>
    <t>029C889909.00</t>
  </si>
  <si>
    <t>029C889909.01</t>
  </si>
  <si>
    <t>029C002266.00</t>
  </si>
  <si>
    <t>029C002266.01</t>
  </si>
  <si>
    <t>029C002745.00</t>
  </si>
  <si>
    <t>029C002745.01</t>
  </si>
  <si>
    <t>029C002390.00</t>
  </si>
  <si>
    <t>029C002390.01</t>
  </si>
  <si>
    <t>029C004269.00</t>
  </si>
  <si>
    <t>029C004269.01</t>
  </si>
  <si>
    <t>029C131313.00</t>
  </si>
  <si>
    <t>029C131313.01</t>
  </si>
  <si>
    <t>029C136701.00</t>
  </si>
  <si>
    <t>029C136701.01</t>
  </si>
  <si>
    <t>029C694151.00</t>
  </si>
  <si>
    <t>029C694151.01</t>
  </si>
  <si>
    <t>029C874664.00</t>
  </si>
  <si>
    <t>029C874664.01</t>
  </si>
  <si>
    <t>029C000625.00</t>
  </si>
  <si>
    <t>029C000625.01</t>
  </si>
  <si>
    <t>029C000947.00</t>
  </si>
  <si>
    <t>029C000947.01</t>
  </si>
  <si>
    <t>029C000950.00</t>
  </si>
  <si>
    <t>029C000950.01</t>
  </si>
  <si>
    <t>029C000951.00</t>
  </si>
  <si>
    <t>029C000951.01</t>
  </si>
  <si>
    <t>029C000952.00</t>
  </si>
  <si>
    <t>029C000952.01</t>
  </si>
  <si>
    <t>029C000953.00</t>
  </si>
  <si>
    <t>029C000953.01</t>
  </si>
  <si>
    <t>029C000954.00</t>
  </si>
  <si>
    <t>029C000954.01</t>
  </si>
  <si>
    <t>029C000956.00</t>
  </si>
  <si>
    <t>029C000956.01</t>
  </si>
  <si>
    <t>029C000957.00</t>
  </si>
  <si>
    <t>029C000957.01</t>
  </si>
  <si>
    <t>029C000958.00</t>
  </si>
  <si>
    <t>029C000958.01</t>
  </si>
  <si>
    <t>029C000961.00</t>
  </si>
  <si>
    <t>029C000961.01</t>
  </si>
  <si>
    <t>029C000962.00</t>
  </si>
  <si>
    <t>029C000962.01</t>
  </si>
  <si>
    <t>029C000965.00</t>
  </si>
  <si>
    <t>029C000965.01</t>
  </si>
  <si>
    <t>029C001027.00</t>
  </si>
  <si>
    <t>029C001027.01</t>
  </si>
  <si>
    <t>029C001028.00</t>
  </si>
  <si>
    <t>029C001028.01</t>
  </si>
  <si>
    <t>029C001823.00</t>
  </si>
  <si>
    <t>029C001823.01</t>
  </si>
  <si>
    <t>029C004250.00</t>
  </si>
  <si>
    <t>029C004250.01</t>
  </si>
  <si>
    <t>029C006877.00</t>
  </si>
  <si>
    <t>029C006877.01</t>
  </si>
  <si>
    <t>029C014460.00</t>
  </si>
  <si>
    <t>029C014460.01</t>
  </si>
  <si>
    <t>029C008479.00</t>
  </si>
  <si>
    <t>029C008479.01</t>
  </si>
  <si>
    <t>029C019464.00</t>
  </si>
  <si>
    <t>029C019464.01</t>
  </si>
  <si>
    <t>029C025009.00</t>
  </si>
  <si>
    <t>029C025009.01</t>
  </si>
  <si>
    <t>029C001084.00</t>
  </si>
  <si>
    <t>029C001084.01</t>
  </si>
  <si>
    <t>VTZ1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</si>
</sst>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4EE6023-776E-4EE8-AFEB-0C16C89AAA22}" autoFormatId="16" applyNumberFormats="0" applyBorderFormats="0" applyFontFormats="0" applyPatternFormats="0" applyAlignmentFormats="0" applyWidthHeightFormats="0">
  <queryTableRefresh nextId="10" unboundColumnsRight="3">
    <queryTableFields count="6">
      <queryTableField id="2" name="Tên môi giới" tableColumnId="2"/>
      <queryTableField id="3" name="Số TK lưu ký KH" tableColumnId="3"/>
      <queryTableField id="4" name="Tên KH" tableColumnId="4"/>
      <queryTableField id="7" dataBound="0" tableColumnId="6"/>
      <queryTableField id="8" dataBound="0" tableColumnId="1"/>
      <queryTableField id="9" dataBound="0" tableColumnId="5"/>
    </queryTableFields>
    <queryTableDeletedFields count="3">
      <deletedField name="Nhóm khách hàng"/>
      <deletedField name="Column8"/>
      <deletedField name="STT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EFCB0B9-1114-4979-9D3F-D3EDCC488729}" autoFormatId="16" applyNumberFormats="0" applyBorderFormats="0" applyFontFormats="0" applyPatternFormats="0" applyAlignmentFormats="0" applyWidthHeightFormats="0">
  <queryTableRefresh nextId="251" unboundColumnsRight="2">
    <queryTableFields count="9">
      <queryTableField id="1" name="Danh sách khách hàng quản lý" tableColumnId="1"/>
      <queryTableField id="2" name="Column3" tableColumnId="2"/>
      <queryTableField id="3" name="Column4" tableColumnId="3"/>
      <queryTableField id="26" name="Column35" tableColumnId="26"/>
      <queryTableField id="27" name="Column36" tableColumnId="27"/>
      <queryTableField id="28" name="Column37" tableColumnId="28"/>
      <queryTableField id="29" name="Column38" tableColumnId="29"/>
      <queryTableField id="249" dataBound="0" tableColumnId="4"/>
      <queryTableField id="250" dataBound="0" tableColumnId="5"/>
    </queryTableFields>
    <queryTableDeletedFields count="240">
      <deletedField name="Column34"/>
      <deletedField name="Column13"/>
      <deletedField name="Column14"/>
      <deletedField name="Column15"/>
      <deletedField name="Column23"/>
      <deletedField name="Column24"/>
      <deletedField name="Column25"/>
      <deletedField name="Column26"/>
      <deletedField name="Column27"/>
      <deletedField name="Column28"/>
      <deletedField name="Column29"/>
      <deletedField name="Column22"/>
      <deletedField name="Column19"/>
      <deletedField name="Column16"/>
      <deletedField name="Column17"/>
      <deletedField name="Column18"/>
      <deletedField name="Column20"/>
      <deletedField name="Column21"/>
      <deletedField name="Column30"/>
      <deletedField name="Column31"/>
      <deletedField name="Column32"/>
      <deletedField name="Column33"/>
      <deletedField name="Column39"/>
      <deletedField name="Column40"/>
      <deletedField name="Column41"/>
      <deletedField name="Column42"/>
      <deletedField name="Column43"/>
      <deletedField name="Column44"/>
      <deletedField name="Column45"/>
      <deletedField name="Column46"/>
      <deletedField name="Column47"/>
      <deletedField name="Column48"/>
      <deletedField name="Column49"/>
      <deletedField name="Column50"/>
      <deletedField name="Column51"/>
      <deletedField name="Column52"/>
      <deletedField name="Column53"/>
      <deletedField name="Column54"/>
      <deletedField name="Column55"/>
      <deletedField name="Column56"/>
      <deletedField name="Column57"/>
      <deletedField name="Column58"/>
      <deletedField name="Column59"/>
      <deletedField name="Column60"/>
      <deletedField name="Column61"/>
      <deletedField name="Column62"/>
      <deletedField name="Column63"/>
      <deletedField name="Column64"/>
      <deletedField name="Column65"/>
      <deletedField name="Column66"/>
      <deletedField name="Column67"/>
      <deletedField name="Column68"/>
      <deletedField name="Column69"/>
      <deletedField name="Column70"/>
      <deletedField name="Column71"/>
      <deletedField name="Column72"/>
      <deletedField name="Column73"/>
      <deletedField name="Column74"/>
      <deletedField name="Column75"/>
      <deletedField name="Column76"/>
      <deletedField name="Column77"/>
      <deletedField name="Column78"/>
      <deletedField name="Column79"/>
      <deletedField name="Column80"/>
      <deletedField name="Column81"/>
      <deletedField name="Column82"/>
      <deletedField name="Column83"/>
      <deletedField name="Column84"/>
      <deletedField name="Column85"/>
      <deletedField name="Column86"/>
      <deletedField name="Column87"/>
      <deletedField name="Column88"/>
      <deletedField name="Column89"/>
      <deletedField name="Column90"/>
      <deletedField name="Column91"/>
      <deletedField name="Column92"/>
      <deletedField name="Column93"/>
      <deletedField name="Column94"/>
      <deletedField name="Column95"/>
      <deletedField name="Column96"/>
      <deletedField name="Column97"/>
      <deletedField name="Column98"/>
      <deletedField name="Column99"/>
      <deletedField name="Column100"/>
      <deletedField name="Column101"/>
      <deletedField name="Column102"/>
      <deletedField name="Column103"/>
      <deletedField name="Column104"/>
      <deletedField name="Column105"/>
      <deletedField name="Column106"/>
      <deletedField name="Column107"/>
      <deletedField name="Column108"/>
      <deletedField name="Column109"/>
      <deletedField name="Column110"/>
      <deletedField name="Column111"/>
      <deletedField name="Column112"/>
      <deletedField name="Column113"/>
      <deletedField name="Column114"/>
      <deletedField name="Column115"/>
      <deletedField name="Column116"/>
      <deletedField name="Column117"/>
      <deletedField name="Column118"/>
      <deletedField name="Column119"/>
      <deletedField name="Column120"/>
      <deletedField name="Column121"/>
      <deletedField name="Column122"/>
      <deletedField name="Column123"/>
      <deletedField name="Column124"/>
      <deletedField name="Column125"/>
      <deletedField name="Column126"/>
      <deletedField name="Column127"/>
      <deletedField name="Column128"/>
      <deletedField name="Column129"/>
      <deletedField name="Column130"/>
      <deletedField name="Column131"/>
      <deletedField name="Column132"/>
      <deletedField name="Column133"/>
      <deletedField name="Column134"/>
      <deletedField name="Column135"/>
      <deletedField name="Column136"/>
      <deletedField name="Column137"/>
      <deletedField name="Column138"/>
      <deletedField name="Column139"/>
      <deletedField name="Column140"/>
      <deletedField name="Column141"/>
      <deletedField name="Column142"/>
      <deletedField name="Column143"/>
      <deletedField name="Column144"/>
      <deletedField name="Column145"/>
      <deletedField name="Column146"/>
      <deletedField name="Column147"/>
      <deletedField name="Column148"/>
      <deletedField name="Column149"/>
      <deletedField name="Column150"/>
      <deletedField name="Column151"/>
      <deletedField name="Column152"/>
      <deletedField name="Column153"/>
      <deletedField name="Column154"/>
      <deletedField name="Column155"/>
      <deletedField name="Column156"/>
      <deletedField name="Column157"/>
      <deletedField name="Column158"/>
      <deletedField name="Column159"/>
      <deletedField name="Column160"/>
      <deletedField name="Column161"/>
      <deletedField name="Column162"/>
      <deletedField name="Column163"/>
      <deletedField name="Column164"/>
      <deletedField name="Column165"/>
      <deletedField name="Column166"/>
      <deletedField name="Column167"/>
      <deletedField name="Column168"/>
      <deletedField name="Column169"/>
      <deletedField name="Column170"/>
      <deletedField name="Column171"/>
      <deletedField name="Column172"/>
      <deletedField name="Column173"/>
      <deletedField name="Column174"/>
      <deletedField name="Column175"/>
      <deletedField name="Column176"/>
      <deletedField name="Column177"/>
      <deletedField name="Column178"/>
      <deletedField name="Column179"/>
      <deletedField name="Column180"/>
      <deletedField name="Column181"/>
      <deletedField name="Column182"/>
      <deletedField name="Column183"/>
      <deletedField name="Column184"/>
      <deletedField name="Column185"/>
      <deletedField name="Column186"/>
      <deletedField name="Column187"/>
      <deletedField name="Column188"/>
      <deletedField name="Column189"/>
      <deletedField name="Column190"/>
      <deletedField name="Column191"/>
      <deletedField name="Column192"/>
      <deletedField name="Column193"/>
      <deletedField name="Column194"/>
      <deletedField name="Column195"/>
      <deletedField name="Column196"/>
      <deletedField name="Column197"/>
      <deletedField name="Column198"/>
      <deletedField name="Column199"/>
      <deletedField name="Column200"/>
      <deletedField name="Column201"/>
      <deletedField name="Column202"/>
      <deletedField name="Column203"/>
      <deletedField name="Column204"/>
      <deletedField name="Column205"/>
      <deletedField name="Column206"/>
      <deletedField name="Column207"/>
      <deletedField name="Column208"/>
      <deletedField name="Column209"/>
      <deletedField name="Column210"/>
      <deletedField name="Column211"/>
      <deletedField name="Column212"/>
      <deletedField name="Column213"/>
      <deletedField name="Column214"/>
      <deletedField name="Column215"/>
      <deletedField name="Column216"/>
      <deletedField name="Column217"/>
      <deletedField name="Column218"/>
      <deletedField name="Column219"/>
      <deletedField name="Column220"/>
      <deletedField name="Column221"/>
      <deletedField name="Column222"/>
      <deletedField name="Column223"/>
      <deletedField name="Column224"/>
      <deletedField name="Column225"/>
      <deletedField name="Column226"/>
      <deletedField name="Column227"/>
      <deletedField name="Column228"/>
      <deletedField name="Column229"/>
      <deletedField name="Column230"/>
      <deletedField name="Column231"/>
      <deletedField name="Column232"/>
      <deletedField name="Column233"/>
      <deletedField name="Column234"/>
      <deletedField name="Column235"/>
      <deletedField name="Column236"/>
      <deletedField name="Column237"/>
      <deletedField name="Column238"/>
      <deletedField name="Column239"/>
      <deletedField name="Column240"/>
      <deletedField name="Column241"/>
      <deletedField name="Column242"/>
      <deletedField name="Column243"/>
      <deletedField name="Column244"/>
      <deletedField name="Column245"/>
      <deletedField name="Column246"/>
      <deletedField name="Column247"/>
      <deletedField name="Column248"/>
      <deletedField name="Column249"/>
      <deletedField name="Column250"/>
      <deletedField name="Column251"/>
      <deletedField name="Column252"/>
      <deletedField name="Column253"/>
      <deletedField name="Column254"/>
      <deletedField name="Column255"/>
      <deletedField name="Column256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699396B-F792-44E2-93D8-FE45C943CFFB}" autoFormatId="16" applyNumberFormats="0" applyBorderFormats="0" applyFontFormats="0" applyPatternFormats="0" applyAlignmentFormats="0" applyWidthHeightFormats="0">
  <queryTableRefresh nextId="9" unboundColumnsRight="2">
    <queryTableFields count="8">
      <queryTableField id="1" name="STT" tableColumnId="1"/>
      <queryTableField id="2" name="Tên KH" tableColumnId="2"/>
      <queryTableField id="3" name="Số TK lưu ký KH" tableColumnId="3"/>
      <queryTableField id="4" name="Loại TK" tableColumnId="4"/>
      <queryTableField id="5" name="Nhóm KH" tableColumnId="5"/>
      <queryTableField id="6" name="Mã quản lý nhóm" tableColumnId="6"/>
      <queryTableField id="7" dataBound="0" tableColumnId="7"/>
      <queryTableField id="8" dataBound="0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87207D-BAFA-43D3-B8DD-9326F55BF306}" autoFormatId="16" applyNumberFormats="0" applyBorderFormats="0" applyFontFormats="0" applyPatternFormats="0" applyAlignmentFormats="0" applyWidthHeightFormats="0">
  <queryTableRefresh nextId="10">
    <queryTableFields count="7">
      <queryTableField id="1" name="STT" tableColumnId="1"/>
      <queryTableField id="2" name="Tên KH" tableColumnId="2"/>
      <queryTableField id="3" name="Số TK lưu ký KH" tableColumnId="3"/>
      <queryTableField id="4" name="Loại TK" tableColumnId="4"/>
      <queryTableField id="6" name="Nhóm KH" tableColumnId="6"/>
      <queryTableField id="7" name="Mã quản lý nhóm" tableColumnId="7"/>
      <queryTableField id="5" name="Mã CP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FA03EF70-1614-44C2-A715-A0687AE79647}" autoFormatId="16" applyNumberFormats="0" applyBorderFormats="0" applyFontFormats="0" applyPatternFormats="0" applyAlignmentFormats="0" applyWidthHeightFormats="0">
  <queryTableRefresh nextId="7">
    <queryTableFields count="6">
      <queryTableField id="1" name="STT" tableColumnId="1"/>
      <queryTableField id="2" name="Tên KH" tableColumnId="2"/>
      <queryTableField id="3" name="Số TK lưu ký KH" tableColumnId="3"/>
      <queryTableField id="4" name="Loại TK" tableColumnId="4"/>
      <queryTableField id="5" name="Nhóm KH" tableColumnId="5"/>
      <queryTableField id="6" name="Mã quản lý nhóm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020CB759-78C5-49F1-9033-8E623F4280DD}" autoFormatId="16" applyNumberFormats="0" applyBorderFormats="0" applyFontFormats="0" applyPatternFormats="0" applyAlignmentFormats="0" applyWidthHeightFormats="0">
  <queryTableRefresh nextId="8">
    <queryTableFields count="7">
      <queryTableField id="1" name="STT" tableColumnId="1"/>
      <queryTableField id="2" name="Ngày" tableColumnId="2"/>
      <queryTableField id="3" name="Số TK_x000a_Lưu Ký" tableColumnId="3"/>
      <queryTableField id="4" name="Tiểu khoản" tableColumnId="4"/>
      <queryTableField id="5" name="Tên Khách Hàng" tableColumnId="5"/>
      <queryTableField id="6" name="Tên aftype" tableColumnId="6"/>
      <queryTableField id="7" name="Nhân viên QL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B94A4B-1DE3-48EA-B1D3-DE6969432CE2}" name="DS_Khach_hang" displayName="DS_Khach_hang" ref="A1:F841" tableType="queryTable" totalsRowShown="0">
  <autoFilter ref="A1:F841" xr:uid="{C0B94A4B-1DE3-48EA-B1D3-DE6969432CE2}">
    <filterColumn colId="4">
      <filters blank="1"/>
    </filterColumn>
  </autoFilter>
  <sortState xmlns:xlrd2="http://schemas.microsoft.com/office/spreadsheetml/2017/richdata2" caseSensitive="1" ref="A2:F841">
    <sortCondition ref="A2:A841"/>
    <sortCondition ref="B2:B841"/>
  </sortState>
  <tableColumns count="6">
    <tableColumn id="2" xr3:uid="{11A8DD82-87B9-47D4-8795-C374AB4629A6}" uniqueName="2" name="TÊN MÔI GIỚI" queryTableFieldId="2" dataDxfId="32"/>
    <tableColumn id="3" xr3:uid="{F1848262-4A5C-4A32-A5FA-7353A3A9EFE1}" uniqueName="3" name="TÀI KHOẢN LƯU KÝ" queryTableFieldId="3" dataDxfId="31"/>
    <tableColumn id="4" xr3:uid="{8D8F037C-0011-4F3B-9B58-F980B9C67C70}" uniqueName="4" name="TÊN KHÁCH HÀNG" queryTableFieldId="4" dataDxfId="30"/>
    <tableColumn id="6" xr3:uid="{7AE3D9B1-C973-43EB-A546-F15581EDC3EF}" uniqueName="6" name="SỐ TIỂU KHOẢN" queryTableFieldId="7" dataDxfId="29"/>
    <tableColumn id="1" xr3:uid="{219885FA-04F1-45BD-95FE-082EB210F264}" uniqueName="1" name="NHÓM KHÁCH HÀNG" queryTableFieldId="8" dataDxfId="28"/>
    <tableColumn id="5" xr3:uid="{01CCF078-5E34-45C2-96D1-D38323518A3B}" uniqueName="5" name="PHÂN LOẠI KHÁCH HÀNG" queryTableFieldId="9" dataDxfId="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28733A-7F03-4C91-BA38-81E96427538C}" name="Danh_sách_khách_hàng" displayName="Danh_sách_khách_hàng" ref="A1:I32" tableType="queryTable" totalsRowShown="0">
  <autoFilter ref="A1:I32" xr:uid="{B428733A-7F03-4C91-BA38-81E96427538C}"/>
  <tableColumns count="9">
    <tableColumn id="1" xr3:uid="{2AEAA620-4618-4D9A-989D-ACE187AAA90C}" uniqueName="1" name="TÀI KHOẢN LƯU KÝ" queryTableFieldId="1" dataDxfId="26"/>
    <tableColumn id="2" xr3:uid="{3A0D34CD-F223-42E5-8589-64762930E09E}" uniqueName="2" name="SỐ TIỂU KHOẢN" queryTableFieldId="2" dataDxfId="25"/>
    <tableColumn id="3" xr3:uid="{B20827EA-1E2C-44FB-AABB-D84CA0151ED7}" uniqueName="3" name="TÊN KHÁCH HÀNG" queryTableFieldId="3" dataDxfId="24"/>
    <tableColumn id="26" xr3:uid="{5796F812-936D-4939-B6DA-8514A9C4C70E}" uniqueName="26" name="TÊN MÔI GIỚI" queryTableFieldId="26" dataDxfId="23"/>
    <tableColumn id="27" xr3:uid="{C1CE5DF8-F3F5-42D3-B891-FCA42C493B45}" uniqueName="27" name="MÃ CBMG" queryTableFieldId="27" dataDxfId="22"/>
    <tableColumn id="28" xr3:uid="{1F9482F5-F859-40FA-B318-3AFB9DDE2727}" uniqueName="28" name="TÊN CTV" queryTableFieldId="28" dataDxfId="21"/>
    <tableColumn id="29" xr3:uid="{CC63FEE6-649D-4E28-A5FD-523C2E5E13F3}" uniqueName="29" name="MÃ CTV" queryTableFieldId="29" dataDxfId="20"/>
    <tableColumn id="4" xr3:uid="{5089D615-F19A-438E-8249-337517855F39}" uniqueName="4" name="NHÓM KHÁCH HÀNG" queryTableFieldId="249" dataDxfId="19"/>
    <tableColumn id="5" xr3:uid="{8C34E2EA-C365-4070-833B-7A56BAE52099}" uniqueName="5" name="PHÂN LOẠI KHÁCH HÀNG" queryTableFieldId="250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C6EB29-A5BB-4278-9244-0E84D9638678}" name="RETAIL__29" displayName="RETAIL__29" ref="A1:H735" tableType="queryTable" totalsRowShown="0">
  <autoFilter ref="A1:H735" xr:uid="{2AC6EB29-A5BB-4278-9244-0E84D9638678}"/>
  <tableColumns count="8">
    <tableColumn id="1" xr3:uid="{C2B9B2D7-1669-4FF5-A367-EF7480AAF3E1}" uniqueName="1" name="STT" queryTableFieldId="1"/>
    <tableColumn id="2" xr3:uid="{0CAEE608-CC76-44CD-8B19-9DBE0CE18D48}" uniqueName="2" name="Tên KH" queryTableFieldId="2" dataDxfId="17"/>
    <tableColumn id="3" xr3:uid="{B4FEE111-1BAB-486B-984D-EFED11DDA894}" uniqueName="3" name="Số TK lưu ký KH" queryTableFieldId="3" dataDxfId="16"/>
    <tableColumn id="4" xr3:uid="{58F917D7-F75E-4BD9-8BCF-F8A79CBD4FBF}" uniqueName="4" name="Loại TK" queryTableFieldId="4" dataDxfId="15"/>
    <tableColumn id="5" xr3:uid="{1CA9A735-B475-4E9D-86FD-297E16892E0E}" uniqueName="5" name="Nhóm KH" queryTableFieldId="5" dataDxfId="14"/>
    <tableColumn id="6" xr3:uid="{6B60A7FC-01B3-45B2-A0A6-0AD9E9F6EC18}" uniqueName="6" name="Mã quản lý nhóm" queryTableFieldId="6" dataDxfId="13"/>
    <tableColumn id="7" xr3:uid="{B92BEA61-38A2-465D-9748-6BF049752E9B}" uniqueName="7" name="Tên môi giới" queryTableFieldId="7" dataDxfId="12"/>
    <tableColumn id="8" xr3:uid="{E7C1C3A1-936F-4384-A30F-CAB7F6CBC7F1}" uniqueName="8" name="Số tiểu khoản" queryTableFieldId="8" dataDxfId="11">
      <calculatedColumnFormula>C2&amp;IF(MOD(ROW(),2)=0,".00",".01")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968229-494C-48E3-9BD9-9D728D0C913E}" name="DEAL__2" displayName="DEAL__2" ref="A1:G52" tableType="queryTable" totalsRowShown="0">
  <autoFilter ref="A1:G52" xr:uid="{3B968229-494C-48E3-9BD9-9D728D0C913E}"/>
  <tableColumns count="7">
    <tableColumn id="1" xr3:uid="{2106BD28-1CFB-443E-A795-510266FCC5E3}" uniqueName="1" name="STT" queryTableFieldId="1"/>
    <tableColumn id="2" xr3:uid="{0DB6AA0A-6DDD-47B0-BD29-E71F82B68917}" uniqueName="2" name="Tên KH" queryTableFieldId="2" dataDxfId="10"/>
    <tableColumn id="3" xr3:uid="{5E502454-91A3-44F1-A6E4-AD4278118611}" uniqueName="3" name="Số TK lưu ký KH" queryTableFieldId="3" dataDxfId="9"/>
    <tableColumn id="4" xr3:uid="{F1C9F274-329C-4915-B6C5-22E362FA6E34}" uniqueName="4" name="Loại TK" queryTableFieldId="4" dataDxfId="8"/>
    <tableColumn id="6" xr3:uid="{8FB0C9CB-5F34-4E71-AD84-AD8483818D61}" uniqueName="6" name="Nhóm KH" queryTableFieldId="6" dataDxfId="7"/>
    <tableColumn id="7" xr3:uid="{58791BC1-8497-4059-812D-FB8D393584E5}" uniqueName="7" name="Mã quản lý nhóm" queryTableFieldId="7" dataDxfId="6"/>
    <tableColumn id="5" xr3:uid="{7CB9E3B5-90CF-464E-B823-B9384B823415}" uniqueName="5" name="Mã CP" queryTableFieldId="5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1360FB-CDE4-4093-955E-3D32044999F6}" name="RETAIL__2" displayName="RETAIL__2" ref="A1:F317" tableType="queryTable" totalsRowShown="0">
  <autoFilter ref="A1:F317" xr:uid="{651360FB-CDE4-4093-955E-3D32044999F6}"/>
  <tableColumns count="6">
    <tableColumn id="1" xr3:uid="{F9797618-DCA9-4CD8-9FE2-7567908AF912}" uniqueName="1" name="STT" queryTableFieldId="1"/>
    <tableColumn id="2" xr3:uid="{A909967F-39A7-4EA5-AAB0-70C6184FA17A}" uniqueName="2" name="Tên KH" queryTableFieldId="2" dataDxfId="4"/>
    <tableColumn id="3" xr3:uid="{2945E91D-2B4C-4306-88D6-9C40973A063C}" uniqueName="3" name="Số TK lưu ký KH" queryTableFieldId="3" dataDxfId="3"/>
    <tableColumn id="4" xr3:uid="{FB9A12B8-7368-4A56-8033-3892F3EDADD4}" uniqueName="4" name="Loại TK" queryTableFieldId="4" dataDxfId="2"/>
    <tableColumn id="5" xr3:uid="{5548FA02-A391-4653-8314-749E8FB5240C}" uniqueName="5" name="Nhóm KH" queryTableFieldId="5" dataDxfId="1"/>
    <tableColumn id="6" xr3:uid="{37099A2A-F517-4E9A-A9E3-7D8CD36DF2A7}" uniqueName="6" name="Mã quản lý nhóm" queryTableFieldId="6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32898E-42D8-4D8B-AD82-B166364637ED}" name="Table_1" displayName="Table_1" ref="A1:G366" tableType="queryTable" totalsRowShown="0">
  <autoFilter ref="A1:G366" xr:uid="{9B32898E-42D8-4D8B-AD82-B166364637ED}"/>
  <tableColumns count="7">
    <tableColumn id="1" xr3:uid="{EF79F035-5966-41A2-B8E5-0CC3BD626C7B}" uniqueName="1" name="STT" queryTableFieldId="1"/>
    <tableColumn id="2" xr3:uid="{8FDA974A-E484-4444-BD7D-400F445BB77F}" uniqueName="2" name="Ngày" queryTableFieldId="2" dataDxfId="37"/>
    <tableColumn id="3" xr3:uid="{A7FCF908-D18F-466E-8C07-CEFFE1F1C60B}" uniqueName="3" name="Số TK Lưu Ký" queryTableFieldId="3" dataDxfId="36"/>
    <tableColumn id="4" xr3:uid="{9D17B1F7-FEA1-4885-88E5-9B6209F3F479}" uniqueName="4" name="Tiểu khoản" queryTableFieldId="4"/>
    <tableColumn id="5" xr3:uid="{0316BF7D-DCB7-4438-912E-00FED1C2A31C}" uniqueName="5" name="Tên Khách Hàng" queryTableFieldId="5" dataDxfId="35"/>
    <tableColumn id="6" xr3:uid="{46D5C08B-D04C-4960-B108-BC44E1E56D53}" uniqueName="6" name="Tên aftype" queryTableFieldId="6" dataDxfId="34"/>
    <tableColumn id="7" xr3:uid="{93196198-AC5D-4B0A-9E5E-0A30D3447633}" uniqueName="7" name="Nhân viên QL" queryTableFieldId="7" dataDxfId="3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E25185-549D-4456-A624-4FB4AC885772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ph_ApVgIcNTp5P9vVO35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BCE1E554-200F-456E-84A9-2FB20146AFB8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91721a2c-8fee-4254-8b3d-965aec10ef8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3D93-2497-4ABD-8ECD-6E7D0D81B971}">
  <dimension ref="A1:F841"/>
  <sheetViews>
    <sheetView tabSelected="1" workbookViewId="0">
      <selection activeCell="E9" sqref="E9"/>
    </sheetView>
  </sheetViews>
  <sheetFormatPr defaultRowHeight="15" x14ac:dyDescent="0.25"/>
  <cols>
    <col min="1" max="1" width="24.5703125" customWidth="1"/>
    <col min="2" max="2" width="20.7109375" customWidth="1"/>
    <col min="3" max="3" width="65.85546875" customWidth="1"/>
    <col min="4" max="4" width="19.28515625" customWidth="1"/>
    <col min="5" max="6" width="24.85546875" customWidth="1"/>
  </cols>
  <sheetData>
    <row r="1" spans="1:6" x14ac:dyDescent="0.25">
      <c r="A1" t="s">
        <v>607</v>
      </c>
      <c r="B1" t="s">
        <v>551</v>
      </c>
      <c r="C1" t="s">
        <v>553</v>
      </c>
      <c r="D1" t="s">
        <v>552</v>
      </c>
      <c r="E1" t="s">
        <v>612</v>
      </c>
      <c r="F1" t="s">
        <v>613</v>
      </c>
    </row>
    <row r="2" spans="1:6" hidden="1" x14ac:dyDescent="0.25">
      <c r="A2" t="s">
        <v>5</v>
      </c>
      <c r="B2" t="s">
        <v>59</v>
      </c>
      <c r="C2" t="s">
        <v>60</v>
      </c>
      <c r="D2" t="s">
        <v>1022</v>
      </c>
      <c r="E2" t="s">
        <v>965</v>
      </c>
      <c r="F2" t="s">
        <v>923</v>
      </c>
    </row>
    <row r="3" spans="1:6" hidden="1" x14ac:dyDescent="0.25">
      <c r="A3" t="s">
        <v>5</v>
      </c>
      <c r="B3" t="s">
        <v>59</v>
      </c>
      <c r="C3" t="s">
        <v>60</v>
      </c>
      <c r="D3" t="s">
        <v>1023</v>
      </c>
      <c r="E3" t="s">
        <v>965</v>
      </c>
      <c r="F3" t="s">
        <v>923</v>
      </c>
    </row>
    <row r="4" spans="1:6" hidden="1" x14ac:dyDescent="0.25">
      <c r="A4" t="s">
        <v>5</v>
      </c>
      <c r="B4" t="s">
        <v>67</v>
      </c>
      <c r="C4" t="s">
        <v>68</v>
      </c>
      <c r="D4" t="s">
        <v>1024</v>
      </c>
      <c r="E4" t="s">
        <v>989</v>
      </c>
      <c r="F4" t="s">
        <v>988</v>
      </c>
    </row>
    <row r="5" spans="1:6" hidden="1" x14ac:dyDescent="0.25">
      <c r="A5" t="s">
        <v>5</v>
      </c>
      <c r="B5" t="s">
        <v>67</v>
      </c>
      <c r="C5" t="s">
        <v>68</v>
      </c>
      <c r="D5" t="s">
        <v>1025</v>
      </c>
      <c r="E5" t="s">
        <v>989</v>
      </c>
      <c r="F5" t="s">
        <v>988</v>
      </c>
    </row>
    <row r="6" spans="1:6" hidden="1" x14ac:dyDescent="0.25">
      <c r="A6" t="s">
        <v>5</v>
      </c>
      <c r="B6" t="s">
        <v>14</v>
      </c>
      <c r="C6" t="s">
        <v>5</v>
      </c>
      <c r="D6" t="s">
        <v>1026</v>
      </c>
      <c r="E6" t="s">
        <v>989</v>
      </c>
      <c r="F6" t="s">
        <v>988</v>
      </c>
    </row>
    <row r="7" spans="1:6" hidden="1" x14ac:dyDescent="0.25">
      <c r="A7" t="s">
        <v>5</v>
      </c>
      <c r="B7" t="s">
        <v>14</v>
      </c>
      <c r="C7" t="s">
        <v>5</v>
      </c>
      <c r="D7" t="s">
        <v>1027</v>
      </c>
      <c r="E7" t="s">
        <v>989</v>
      </c>
      <c r="F7" t="s">
        <v>988</v>
      </c>
    </row>
    <row r="8" spans="1:6" x14ac:dyDescent="0.25">
      <c r="A8" t="s">
        <v>5</v>
      </c>
      <c r="B8" t="s">
        <v>29</v>
      </c>
      <c r="C8" t="s">
        <v>30</v>
      </c>
      <c r="D8" t="s">
        <v>1028</v>
      </c>
      <c r="E8" t="s">
        <v>1020</v>
      </c>
      <c r="F8" t="s">
        <v>1020</v>
      </c>
    </row>
    <row r="9" spans="1:6" x14ac:dyDescent="0.25">
      <c r="A9" t="s">
        <v>5</v>
      </c>
      <c r="B9" t="s">
        <v>29</v>
      </c>
      <c r="C9" t="s">
        <v>30</v>
      </c>
      <c r="D9" t="s">
        <v>1029</v>
      </c>
      <c r="E9" t="s">
        <v>1020</v>
      </c>
      <c r="F9" t="s">
        <v>1020</v>
      </c>
    </row>
    <row r="10" spans="1:6" x14ac:dyDescent="0.25">
      <c r="A10" t="s">
        <v>5</v>
      </c>
      <c r="B10" t="s">
        <v>27</v>
      </c>
      <c r="C10" t="s">
        <v>28</v>
      </c>
      <c r="D10" t="s">
        <v>1030</v>
      </c>
      <c r="E10" t="s">
        <v>1020</v>
      </c>
      <c r="F10" t="s">
        <v>1020</v>
      </c>
    </row>
    <row r="11" spans="1:6" x14ac:dyDescent="0.25">
      <c r="A11" t="s">
        <v>5</v>
      </c>
      <c r="B11" t="s">
        <v>27</v>
      </c>
      <c r="C11" t="s">
        <v>28</v>
      </c>
      <c r="D11" t="s">
        <v>1031</v>
      </c>
      <c r="E11" t="s">
        <v>1020</v>
      </c>
      <c r="F11" t="s">
        <v>1020</v>
      </c>
    </row>
    <row r="12" spans="1:6" hidden="1" x14ac:dyDescent="0.25">
      <c r="A12" t="s">
        <v>5</v>
      </c>
      <c r="B12" t="s">
        <v>69</v>
      </c>
      <c r="C12" t="s">
        <v>70</v>
      </c>
      <c r="D12" t="s">
        <v>1032</v>
      </c>
      <c r="E12" t="s">
        <v>989</v>
      </c>
      <c r="F12" t="s">
        <v>988</v>
      </c>
    </row>
    <row r="13" spans="1:6" hidden="1" x14ac:dyDescent="0.25">
      <c r="A13" t="s">
        <v>5</v>
      </c>
      <c r="B13" t="s">
        <v>69</v>
      </c>
      <c r="C13" t="s">
        <v>70</v>
      </c>
      <c r="D13" t="s">
        <v>1033</v>
      </c>
      <c r="E13" t="s">
        <v>989</v>
      </c>
      <c r="F13" t="s">
        <v>988</v>
      </c>
    </row>
    <row r="14" spans="1:6" hidden="1" x14ac:dyDescent="0.25">
      <c r="A14" t="s">
        <v>5</v>
      </c>
      <c r="B14" t="s">
        <v>45</v>
      </c>
      <c r="C14" t="s">
        <v>46</v>
      </c>
      <c r="D14" t="s">
        <v>1034</v>
      </c>
      <c r="E14" t="s">
        <v>989</v>
      </c>
      <c r="F14" t="s">
        <v>988</v>
      </c>
    </row>
    <row r="15" spans="1:6" hidden="1" x14ac:dyDescent="0.25">
      <c r="A15" t="s">
        <v>5</v>
      </c>
      <c r="B15" t="s">
        <v>45</v>
      </c>
      <c r="C15" t="s">
        <v>46</v>
      </c>
      <c r="D15" t="s">
        <v>1035</v>
      </c>
      <c r="E15" t="s">
        <v>989</v>
      </c>
      <c r="F15" t="s">
        <v>988</v>
      </c>
    </row>
    <row r="16" spans="1:6" hidden="1" x14ac:dyDescent="0.25">
      <c r="A16" t="s">
        <v>5</v>
      </c>
      <c r="B16" t="s">
        <v>17</v>
      </c>
      <c r="C16" t="s">
        <v>18</v>
      </c>
      <c r="D16" t="s">
        <v>1036</v>
      </c>
      <c r="E16" t="s">
        <v>989</v>
      </c>
      <c r="F16" t="s">
        <v>988</v>
      </c>
    </row>
    <row r="17" spans="1:6" hidden="1" x14ac:dyDescent="0.25">
      <c r="A17" t="s">
        <v>5</v>
      </c>
      <c r="B17" t="s">
        <v>17</v>
      </c>
      <c r="C17" t="s">
        <v>18</v>
      </c>
      <c r="D17" t="s">
        <v>1037</v>
      </c>
      <c r="E17" t="s">
        <v>989</v>
      </c>
      <c r="F17" t="s">
        <v>988</v>
      </c>
    </row>
    <row r="18" spans="1:6" hidden="1" x14ac:dyDescent="0.25">
      <c r="A18" t="s">
        <v>5</v>
      </c>
      <c r="B18" t="s">
        <v>47</v>
      </c>
      <c r="C18" t="s">
        <v>48</v>
      </c>
      <c r="D18" t="s">
        <v>1038</v>
      </c>
      <c r="E18" t="s">
        <v>989</v>
      </c>
      <c r="F18" t="s">
        <v>988</v>
      </c>
    </row>
    <row r="19" spans="1:6" hidden="1" x14ac:dyDescent="0.25">
      <c r="A19" t="s">
        <v>5</v>
      </c>
      <c r="B19" t="s">
        <v>47</v>
      </c>
      <c r="C19" t="s">
        <v>48</v>
      </c>
      <c r="D19" t="s">
        <v>1039</v>
      </c>
      <c r="E19" t="s">
        <v>989</v>
      </c>
      <c r="F19" t="s">
        <v>988</v>
      </c>
    </row>
    <row r="20" spans="1:6" hidden="1" x14ac:dyDescent="0.25">
      <c r="A20" t="s">
        <v>5</v>
      </c>
      <c r="B20" t="s">
        <v>8</v>
      </c>
      <c r="C20" t="s">
        <v>9</v>
      </c>
      <c r="D20" t="s">
        <v>1040</v>
      </c>
      <c r="E20" t="s">
        <v>989</v>
      </c>
      <c r="F20" t="s">
        <v>988</v>
      </c>
    </row>
    <row r="21" spans="1:6" hidden="1" x14ac:dyDescent="0.25">
      <c r="A21" t="s">
        <v>5</v>
      </c>
      <c r="B21" t="s">
        <v>8</v>
      </c>
      <c r="C21" t="s">
        <v>9</v>
      </c>
      <c r="D21" t="s">
        <v>1041</v>
      </c>
      <c r="E21" t="s">
        <v>989</v>
      </c>
      <c r="F21" t="s">
        <v>988</v>
      </c>
    </row>
    <row r="22" spans="1:6" hidden="1" x14ac:dyDescent="0.25">
      <c r="A22" t="s">
        <v>5</v>
      </c>
      <c r="B22" t="s">
        <v>31</v>
      </c>
      <c r="C22" t="s">
        <v>32</v>
      </c>
      <c r="D22" t="s">
        <v>1042</v>
      </c>
      <c r="E22" t="s">
        <v>989</v>
      </c>
      <c r="F22" t="s">
        <v>988</v>
      </c>
    </row>
    <row r="23" spans="1:6" hidden="1" x14ac:dyDescent="0.25">
      <c r="A23" t="s">
        <v>5</v>
      </c>
      <c r="B23" t="s">
        <v>31</v>
      </c>
      <c r="C23" t="s">
        <v>32</v>
      </c>
      <c r="D23" t="s">
        <v>1043</v>
      </c>
      <c r="E23" t="s">
        <v>989</v>
      </c>
      <c r="F23" t="s">
        <v>988</v>
      </c>
    </row>
    <row r="24" spans="1:6" hidden="1" x14ac:dyDescent="0.25">
      <c r="A24" t="s">
        <v>5</v>
      </c>
      <c r="B24" t="s">
        <v>33</v>
      </c>
      <c r="C24" t="s">
        <v>34</v>
      </c>
      <c r="D24" t="s">
        <v>1044</v>
      </c>
      <c r="E24" t="s">
        <v>989</v>
      </c>
      <c r="F24" t="s">
        <v>988</v>
      </c>
    </row>
    <row r="25" spans="1:6" hidden="1" x14ac:dyDescent="0.25">
      <c r="A25" t="s">
        <v>5</v>
      </c>
      <c r="B25" t="s">
        <v>33</v>
      </c>
      <c r="C25" t="s">
        <v>34</v>
      </c>
      <c r="D25" t="s">
        <v>1045</v>
      </c>
      <c r="E25" t="s">
        <v>989</v>
      </c>
      <c r="F25" t="s">
        <v>988</v>
      </c>
    </row>
    <row r="26" spans="1:6" hidden="1" x14ac:dyDescent="0.25">
      <c r="A26" t="s">
        <v>5</v>
      </c>
      <c r="B26" t="s">
        <v>53</v>
      </c>
      <c r="C26" t="s">
        <v>54</v>
      </c>
      <c r="D26" t="s">
        <v>1046</v>
      </c>
      <c r="E26" t="s">
        <v>989</v>
      </c>
      <c r="F26" t="s">
        <v>988</v>
      </c>
    </row>
    <row r="27" spans="1:6" hidden="1" x14ac:dyDescent="0.25">
      <c r="A27" t="s">
        <v>5</v>
      </c>
      <c r="B27" t="s">
        <v>53</v>
      </c>
      <c r="C27" t="s">
        <v>54</v>
      </c>
      <c r="D27" t="s">
        <v>1047</v>
      </c>
      <c r="E27" t="s">
        <v>989</v>
      </c>
      <c r="F27" t="s">
        <v>988</v>
      </c>
    </row>
    <row r="28" spans="1:6" hidden="1" x14ac:dyDescent="0.25">
      <c r="A28" t="s">
        <v>5</v>
      </c>
      <c r="B28" t="s">
        <v>21</v>
      </c>
      <c r="C28" t="s">
        <v>22</v>
      </c>
      <c r="D28" t="s">
        <v>1048</v>
      </c>
      <c r="E28" t="s">
        <v>989</v>
      </c>
      <c r="F28" t="s">
        <v>988</v>
      </c>
    </row>
    <row r="29" spans="1:6" hidden="1" x14ac:dyDescent="0.25">
      <c r="A29" t="s">
        <v>5</v>
      </c>
      <c r="B29" t="s">
        <v>21</v>
      </c>
      <c r="C29" t="s">
        <v>22</v>
      </c>
      <c r="D29" t="s">
        <v>1049</v>
      </c>
      <c r="E29" t="s">
        <v>989</v>
      </c>
      <c r="F29" t="s">
        <v>988</v>
      </c>
    </row>
    <row r="30" spans="1:6" hidden="1" x14ac:dyDescent="0.25">
      <c r="A30" t="s">
        <v>5</v>
      </c>
      <c r="B30" t="s">
        <v>25</v>
      </c>
      <c r="C30" t="s">
        <v>26</v>
      </c>
      <c r="D30" t="s">
        <v>1050</v>
      </c>
      <c r="E30" t="s">
        <v>989</v>
      </c>
      <c r="F30" t="s">
        <v>988</v>
      </c>
    </row>
    <row r="31" spans="1:6" hidden="1" x14ac:dyDescent="0.25">
      <c r="A31" t="s">
        <v>5</v>
      </c>
      <c r="B31" t="s">
        <v>25</v>
      </c>
      <c r="C31" t="s">
        <v>26</v>
      </c>
      <c r="D31" t="s">
        <v>1051</v>
      </c>
      <c r="E31" t="s">
        <v>989</v>
      </c>
      <c r="F31" t="s">
        <v>988</v>
      </c>
    </row>
    <row r="32" spans="1:6" hidden="1" x14ac:dyDescent="0.25">
      <c r="A32" t="s">
        <v>5</v>
      </c>
      <c r="B32" t="s">
        <v>43</v>
      </c>
      <c r="C32" t="s">
        <v>44</v>
      </c>
      <c r="D32" t="s">
        <v>1052</v>
      </c>
      <c r="E32" t="s">
        <v>989</v>
      </c>
      <c r="F32" t="s">
        <v>988</v>
      </c>
    </row>
    <row r="33" spans="1:6" hidden="1" x14ac:dyDescent="0.25">
      <c r="A33" t="s">
        <v>5</v>
      </c>
      <c r="B33" t="s">
        <v>43</v>
      </c>
      <c r="C33" t="s">
        <v>44</v>
      </c>
      <c r="D33" t="s">
        <v>1053</v>
      </c>
      <c r="E33" t="s">
        <v>989</v>
      </c>
      <c r="F33" t="s">
        <v>988</v>
      </c>
    </row>
    <row r="34" spans="1:6" hidden="1" x14ac:dyDescent="0.25">
      <c r="A34" t="s">
        <v>5</v>
      </c>
      <c r="B34" t="s">
        <v>41</v>
      </c>
      <c r="C34" t="s">
        <v>42</v>
      </c>
      <c r="D34" t="s">
        <v>1054</v>
      </c>
      <c r="E34" t="s">
        <v>989</v>
      </c>
      <c r="F34" t="s">
        <v>988</v>
      </c>
    </row>
    <row r="35" spans="1:6" hidden="1" x14ac:dyDescent="0.25">
      <c r="A35" t="s">
        <v>5</v>
      </c>
      <c r="B35" t="s">
        <v>41</v>
      </c>
      <c r="C35" t="s">
        <v>42</v>
      </c>
      <c r="D35" t="s">
        <v>1055</v>
      </c>
      <c r="E35" t="s">
        <v>989</v>
      </c>
      <c r="F35" t="s">
        <v>988</v>
      </c>
    </row>
    <row r="36" spans="1:6" hidden="1" x14ac:dyDescent="0.25">
      <c r="A36" t="s">
        <v>5</v>
      </c>
      <c r="B36" t="s">
        <v>63</v>
      </c>
      <c r="C36" t="s">
        <v>64</v>
      </c>
      <c r="D36" t="s">
        <v>1056</v>
      </c>
      <c r="E36" t="s">
        <v>989</v>
      </c>
      <c r="F36" t="s">
        <v>988</v>
      </c>
    </row>
    <row r="37" spans="1:6" hidden="1" x14ac:dyDescent="0.25">
      <c r="A37" t="s">
        <v>5</v>
      </c>
      <c r="B37" t="s">
        <v>63</v>
      </c>
      <c r="C37" t="s">
        <v>64</v>
      </c>
      <c r="D37" t="s">
        <v>1057</v>
      </c>
      <c r="E37" t="s">
        <v>989</v>
      </c>
      <c r="F37" t="s">
        <v>988</v>
      </c>
    </row>
    <row r="38" spans="1:6" hidden="1" x14ac:dyDescent="0.25">
      <c r="A38" t="s">
        <v>5</v>
      </c>
      <c r="B38" t="s">
        <v>19</v>
      </c>
      <c r="C38" t="s">
        <v>20</v>
      </c>
      <c r="D38" t="s">
        <v>1058</v>
      </c>
      <c r="E38" t="s">
        <v>989</v>
      </c>
      <c r="F38" t="s">
        <v>988</v>
      </c>
    </row>
    <row r="39" spans="1:6" hidden="1" x14ac:dyDescent="0.25">
      <c r="A39" t="s">
        <v>5</v>
      </c>
      <c r="B39" t="s">
        <v>19</v>
      </c>
      <c r="C39" t="s">
        <v>20</v>
      </c>
      <c r="D39" t="s">
        <v>1059</v>
      </c>
      <c r="E39" t="s">
        <v>989</v>
      </c>
      <c r="F39" t="s">
        <v>988</v>
      </c>
    </row>
    <row r="40" spans="1:6" hidden="1" x14ac:dyDescent="0.25">
      <c r="A40" t="s">
        <v>5</v>
      </c>
      <c r="B40" t="s">
        <v>15</v>
      </c>
      <c r="C40" t="s">
        <v>16</v>
      </c>
      <c r="D40" t="s">
        <v>1060</v>
      </c>
      <c r="E40" t="s">
        <v>989</v>
      </c>
      <c r="F40" t="s">
        <v>988</v>
      </c>
    </row>
    <row r="41" spans="1:6" hidden="1" x14ac:dyDescent="0.25">
      <c r="A41" t="s">
        <v>5</v>
      </c>
      <c r="B41" t="s">
        <v>15</v>
      </c>
      <c r="C41" t="s">
        <v>16</v>
      </c>
      <c r="D41" t="s">
        <v>1061</v>
      </c>
      <c r="E41" t="s">
        <v>989</v>
      </c>
      <c r="F41" t="s">
        <v>988</v>
      </c>
    </row>
    <row r="42" spans="1:6" hidden="1" x14ac:dyDescent="0.25">
      <c r="A42" t="s">
        <v>5</v>
      </c>
      <c r="B42" t="s">
        <v>35</v>
      </c>
      <c r="C42" t="s">
        <v>36</v>
      </c>
      <c r="D42" t="s">
        <v>1062</v>
      </c>
      <c r="E42" t="s">
        <v>989</v>
      </c>
      <c r="F42" t="s">
        <v>988</v>
      </c>
    </row>
    <row r="43" spans="1:6" hidden="1" x14ac:dyDescent="0.25">
      <c r="A43" t="s">
        <v>5</v>
      </c>
      <c r="B43" t="s">
        <v>35</v>
      </c>
      <c r="C43" t="s">
        <v>36</v>
      </c>
      <c r="D43" t="s">
        <v>1063</v>
      </c>
      <c r="E43" t="s">
        <v>989</v>
      </c>
      <c r="F43" t="s">
        <v>988</v>
      </c>
    </row>
    <row r="44" spans="1:6" hidden="1" x14ac:dyDescent="0.25">
      <c r="A44" t="s">
        <v>5</v>
      </c>
      <c r="B44" t="s">
        <v>79</v>
      </c>
      <c r="C44" t="s">
        <v>80</v>
      </c>
      <c r="D44" t="s">
        <v>1064</v>
      </c>
      <c r="E44" t="s">
        <v>959</v>
      </c>
      <c r="F44" t="s">
        <v>923</v>
      </c>
    </row>
    <row r="45" spans="1:6" hidden="1" x14ac:dyDescent="0.25">
      <c r="A45" t="s">
        <v>5</v>
      </c>
      <c r="B45" t="s">
        <v>79</v>
      </c>
      <c r="C45" t="s">
        <v>80</v>
      </c>
      <c r="D45" t="s">
        <v>1065</v>
      </c>
      <c r="E45" t="s">
        <v>959</v>
      </c>
      <c r="F45" t="s">
        <v>923</v>
      </c>
    </row>
    <row r="46" spans="1:6" hidden="1" x14ac:dyDescent="0.25">
      <c r="A46" t="s">
        <v>5</v>
      </c>
      <c r="B46" t="s">
        <v>103</v>
      </c>
      <c r="C46" t="s">
        <v>104</v>
      </c>
      <c r="D46" t="s">
        <v>1066</v>
      </c>
      <c r="E46" t="s">
        <v>939</v>
      </c>
      <c r="F46" t="s">
        <v>923</v>
      </c>
    </row>
    <row r="47" spans="1:6" hidden="1" x14ac:dyDescent="0.25">
      <c r="A47" t="s">
        <v>5</v>
      </c>
      <c r="B47" t="s">
        <v>103</v>
      </c>
      <c r="C47" t="s">
        <v>104</v>
      </c>
      <c r="D47" t="s">
        <v>1067</v>
      </c>
      <c r="E47" t="s">
        <v>939</v>
      </c>
      <c r="F47" t="s">
        <v>923</v>
      </c>
    </row>
    <row r="48" spans="1:6" hidden="1" x14ac:dyDescent="0.25">
      <c r="A48" t="s">
        <v>5</v>
      </c>
      <c r="B48" t="s">
        <v>6</v>
      </c>
      <c r="C48" t="s">
        <v>7</v>
      </c>
      <c r="D48" t="s">
        <v>1068</v>
      </c>
      <c r="E48" t="s">
        <v>989</v>
      </c>
      <c r="F48" t="s">
        <v>988</v>
      </c>
    </row>
    <row r="49" spans="1:6" hidden="1" x14ac:dyDescent="0.25">
      <c r="A49" t="s">
        <v>5</v>
      </c>
      <c r="B49" t="s">
        <v>6</v>
      </c>
      <c r="C49" t="s">
        <v>7</v>
      </c>
      <c r="D49" t="s">
        <v>1069</v>
      </c>
      <c r="E49" t="s">
        <v>989</v>
      </c>
      <c r="F49" t="s">
        <v>988</v>
      </c>
    </row>
    <row r="50" spans="1:6" hidden="1" x14ac:dyDescent="0.25">
      <c r="A50" t="s">
        <v>5</v>
      </c>
      <c r="B50" t="s">
        <v>37</v>
      </c>
      <c r="C50" t="s">
        <v>38</v>
      </c>
      <c r="D50" t="s">
        <v>1070</v>
      </c>
      <c r="E50" t="s">
        <v>989</v>
      </c>
      <c r="F50" t="s">
        <v>988</v>
      </c>
    </row>
    <row r="51" spans="1:6" hidden="1" x14ac:dyDescent="0.25">
      <c r="A51" t="s">
        <v>5</v>
      </c>
      <c r="B51" t="s">
        <v>37</v>
      </c>
      <c r="C51" t="s">
        <v>38</v>
      </c>
      <c r="D51" t="s">
        <v>1071</v>
      </c>
      <c r="E51" t="s">
        <v>989</v>
      </c>
      <c r="F51" t="s">
        <v>988</v>
      </c>
    </row>
    <row r="52" spans="1:6" hidden="1" x14ac:dyDescent="0.25">
      <c r="A52" t="s">
        <v>5</v>
      </c>
      <c r="B52" t="s">
        <v>10</v>
      </c>
      <c r="C52" t="s">
        <v>11</v>
      </c>
      <c r="D52" t="s">
        <v>1072</v>
      </c>
      <c r="E52" t="s">
        <v>959</v>
      </c>
      <c r="F52" t="s">
        <v>923</v>
      </c>
    </row>
    <row r="53" spans="1:6" hidden="1" x14ac:dyDescent="0.25">
      <c r="A53" t="s">
        <v>5</v>
      </c>
      <c r="B53" t="s">
        <v>10</v>
      </c>
      <c r="C53" t="s">
        <v>11</v>
      </c>
      <c r="D53" t="s">
        <v>1073</v>
      </c>
      <c r="E53" t="s">
        <v>1862</v>
      </c>
      <c r="F53" t="s">
        <v>923</v>
      </c>
    </row>
    <row r="54" spans="1:6" hidden="1" x14ac:dyDescent="0.25">
      <c r="A54" t="s">
        <v>5</v>
      </c>
      <c r="B54" t="s">
        <v>49</v>
      </c>
      <c r="C54" t="s">
        <v>50</v>
      </c>
      <c r="D54" t="s">
        <v>1074</v>
      </c>
      <c r="E54" t="s">
        <v>989</v>
      </c>
      <c r="F54" t="s">
        <v>988</v>
      </c>
    </row>
    <row r="55" spans="1:6" hidden="1" x14ac:dyDescent="0.25">
      <c r="A55" t="s">
        <v>5</v>
      </c>
      <c r="B55" t="s">
        <v>49</v>
      </c>
      <c r="C55" t="s">
        <v>50</v>
      </c>
      <c r="D55" t="s">
        <v>1075</v>
      </c>
      <c r="E55" t="s">
        <v>989</v>
      </c>
      <c r="F55" t="s">
        <v>988</v>
      </c>
    </row>
    <row r="56" spans="1:6" hidden="1" x14ac:dyDescent="0.25">
      <c r="A56" t="s">
        <v>5</v>
      </c>
      <c r="B56" t="s">
        <v>12</v>
      </c>
      <c r="C56" t="s">
        <v>13</v>
      </c>
      <c r="D56" t="s">
        <v>1076</v>
      </c>
      <c r="E56" t="s">
        <v>989</v>
      </c>
      <c r="F56" t="s">
        <v>988</v>
      </c>
    </row>
    <row r="57" spans="1:6" hidden="1" x14ac:dyDescent="0.25">
      <c r="A57" t="s">
        <v>5</v>
      </c>
      <c r="B57" t="s">
        <v>12</v>
      </c>
      <c r="C57" t="s">
        <v>13</v>
      </c>
      <c r="D57" t="s">
        <v>1077</v>
      </c>
      <c r="E57" t="s">
        <v>989</v>
      </c>
      <c r="F57" t="s">
        <v>988</v>
      </c>
    </row>
    <row r="58" spans="1:6" hidden="1" x14ac:dyDescent="0.25">
      <c r="A58" t="s">
        <v>5</v>
      </c>
      <c r="B58" t="s">
        <v>75</v>
      </c>
      <c r="C58" t="s">
        <v>76</v>
      </c>
      <c r="D58" t="s">
        <v>1078</v>
      </c>
      <c r="E58" t="s">
        <v>989</v>
      </c>
      <c r="F58" t="s">
        <v>988</v>
      </c>
    </row>
    <row r="59" spans="1:6" hidden="1" x14ac:dyDescent="0.25">
      <c r="A59" t="s">
        <v>5</v>
      </c>
      <c r="B59" t="s">
        <v>75</v>
      </c>
      <c r="C59" t="s">
        <v>76</v>
      </c>
      <c r="D59" t="s">
        <v>1079</v>
      </c>
      <c r="E59" t="s">
        <v>989</v>
      </c>
      <c r="F59" t="s">
        <v>988</v>
      </c>
    </row>
    <row r="60" spans="1:6" hidden="1" x14ac:dyDescent="0.25">
      <c r="A60" t="s">
        <v>5</v>
      </c>
      <c r="B60" t="s">
        <v>77</v>
      </c>
      <c r="C60" t="s">
        <v>78</v>
      </c>
      <c r="D60" t="s">
        <v>1080</v>
      </c>
      <c r="E60" t="s">
        <v>989</v>
      </c>
      <c r="F60" t="s">
        <v>988</v>
      </c>
    </row>
    <row r="61" spans="1:6" hidden="1" x14ac:dyDescent="0.25">
      <c r="A61" t="s">
        <v>5</v>
      </c>
      <c r="B61" t="s">
        <v>77</v>
      </c>
      <c r="C61" t="s">
        <v>78</v>
      </c>
      <c r="D61" t="s">
        <v>1081</v>
      </c>
      <c r="E61" t="s">
        <v>989</v>
      </c>
      <c r="F61" t="s">
        <v>988</v>
      </c>
    </row>
    <row r="62" spans="1:6" hidden="1" x14ac:dyDescent="0.25">
      <c r="A62" t="s">
        <v>5</v>
      </c>
      <c r="B62" t="s">
        <v>51</v>
      </c>
      <c r="C62" t="s">
        <v>52</v>
      </c>
      <c r="D62" t="s">
        <v>1082</v>
      </c>
      <c r="E62" t="s">
        <v>989</v>
      </c>
      <c r="F62" t="s">
        <v>988</v>
      </c>
    </row>
    <row r="63" spans="1:6" hidden="1" x14ac:dyDescent="0.25">
      <c r="A63" t="s">
        <v>5</v>
      </c>
      <c r="B63" t="s">
        <v>51</v>
      </c>
      <c r="C63" t="s">
        <v>52</v>
      </c>
      <c r="D63" t="s">
        <v>1083</v>
      </c>
      <c r="E63" t="s">
        <v>989</v>
      </c>
      <c r="F63" t="s">
        <v>988</v>
      </c>
    </row>
    <row r="64" spans="1:6" hidden="1" x14ac:dyDescent="0.25">
      <c r="A64" t="s">
        <v>5</v>
      </c>
      <c r="B64" t="s">
        <v>73</v>
      </c>
      <c r="C64" t="s">
        <v>74</v>
      </c>
      <c r="D64" t="s">
        <v>1084</v>
      </c>
      <c r="E64" t="s">
        <v>989</v>
      </c>
      <c r="F64" t="s">
        <v>988</v>
      </c>
    </row>
    <row r="65" spans="1:6" hidden="1" x14ac:dyDescent="0.25">
      <c r="A65" t="s">
        <v>5</v>
      </c>
      <c r="B65" t="s">
        <v>73</v>
      </c>
      <c r="C65" t="s">
        <v>74</v>
      </c>
      <c r="D65" t="s">
        <v>1085</v>
      </c>
      <c r="E65" t="s">
        <v>989</v>
      </c>
      <c r="F65" t="s">
        <v>988</v>
      </c>
    </row>
    <row r="66" spans="1:6" hidden="1" x14ac:dyDescent="0.25">
      <c r="A66" t="s">
        <v>5</v>
      </c>
      <c r="B66" t="s">
        <v>65</v>
      </c>
      <c r="C66" t="s">
        <v>66</v>
      </c>
      <c r="D66" t="s">
        <v>1086</v>
      </c>
      <c r="E66" t="s">
        <v>989</v>
      </c>
      <c r="F66" t="s">
        <v>988</v>
      </c>
    </row>
    <row r="67" spans="1:6" hidden="1" x14ac:dyDescent="0.25">
      <c r="A67" t="s">
        <v>5</v>
      </c>
      <c r="B67" t="s">
        <v>65</v>
      </c>
      <c r="C67" t="s">
        <v>66</v>
      </c>
      <c r="D67" t="s">
        <v>1087</v>
      </c>
      <c r="E67" t="s">
        <v>989</v>
      </c>
      <c r="F67" t="s">
        <v>988</v>
      </c>
    </row>
    <row r="68" spans="1:6" hidden="1" x14ac:dyDescent="0.25">
      <c r="A68" t="s">
        <v>5</v>
      </c>
      <c r="B68" t="s">
        <v>71</v>
      </c>
      <c r="C68" t="s">
        <v>72</v>
      </c>
      <c r="D68" t="s">
        <v>1088</v>
      </c>
      <c r="E68" t="s">
        <v>989</v>
      </c>
      <c r="F68" t="s">
        <v>988</v>
      </c>
    </row>
    <row r="69" spans="1:6" hidden="1" x14ac:dyDescent="0.25">
      <c r="A69" t="s">
        <v>5</v>
      </c>
      <c r="B69" t="s">
        <v>71</v>
      </c>
      <c r="C69" t="s">
        <v>72</v>
      </c>
      <c r="D69" t="s">
        <v>1089</v>
      </c>
      <c r="E69" t="s">
        <v>989</v>
      </c>
      <c r="F69" t="s">
        <v>988</v>
      </c>
    </row>
    <row r="70" spans="1:6" hidden="1" x14ac:dyDescent="0.25">
      <c r="A70" t="s">
        <v>5</v>
      </c>
      <c r="B70" t="s">
        <v>61</v>
      </c>
      <c r="C70" t="s">
        <v>62</v>
      </c>
      <c r="D70" t="s">
        <v>1090</v>
      </c>
      <c r="E70" t="s">
        <v>962</v>
      </c>
      <c r="F70" t="s">
        <v>923</v>
      </c>
    </row>
    <row r="71" spans="1:6" hidden="1" x14ac:dyDescent="0.25">
      <c r="A71" t="s">
        <v>5</v>
      </c>
      <c r="B71" t="s">
        <v>61</v>
      </c>
      <c r="C71" t="s">
        <v>62</v>
      </c>
      <c r="D71" t="s">
        <v>1091</v>
      </c>
      <c r="E71" t="s">
        <v>962</v>
      </c>
      <c r="F71" t="s">
        <v>923</v>
      </c>
    </row>
    <row r="72" spans="1:6" hidden="1" x14ac:dyDescent="0.25">
      <c r="A72" t="s">
        <v>5</v>
      </c>
      <c r="B72" t="s">
        <v>23</v>
      </c>
      <c r="C72" t="s">
        <v>24</v>
      </c>
      <c r="D72" t="s">
        <v>1092</v>
      </c>
      <c r="E72" t="s">
        <v>989</v>
      </c>
      <c r="F72" t="s">
        <v>988</v>
      </c>
    </row>
    <row r="73" spans="1:6" hidden="1" x14ac:dyDescent="0.25">
      <c r="A73" t="s">
        <v>5</v>
      </c>
      <c r="B73" t="s">
        <v>23</v>
      </c>
      <c r="C73" t="s">
        <v>24</v>
      </c>
      <c r="D73" t="s">
        <v>1093</v>
      </c>
      <c r="E73" t="s">
        <v>989</v>
      </c>
      <c r="F73" t="s">
        <v>988</v>
      </c>
    </row>
    <row r="74" spans="1:6" hidden="1" x14ac:dyDescent="0.25">
      <c r="A74" t="s">
        <v>5</v>
      </c>
      <c r="B74" t="s">
        <v>55</v>
      </c>
      <c r="C74" t="s">
        <v>56</v>
      </c>
      <c r="D74" t="s">
        <v>1094</v>
      </c>
      <c r="E74" t="s">
        <v>989</v>
      </c>
      <c r="F74" t="s">
        <v>988</v>
      </c>
    </row>
    <row r="75" spans="1:6" hidden="1" x14ac:dyDescent="0.25">
      <c r="A75" t="s">
        <v>5</v>
      </c>
      <c r="B75" t="s">
        <v>55</v>
      </c>
      <c r="C75" t="s">
        <v>56</v>
      </c>
      <c r="D75" t="s">
        <v>1095</v>
      </c>
      <c r="E75" t="s">
        <v>989</v>
      </c>
      <c r="F75" t="s">
        <v>988</v>
      </c>
    </row>
    <row r="76" spans="1:6" hidden="1" x14ac:dyDescent="0.25">
      <c r="A76" t="s">
        <v>5</v>
      </c>
      <c r="B76" t="s">
        <v>39</v>
      </c>
      <c r="C76" t="s">
        <v>40</v>
      </c>
      <c r="D76" t="s">
        <v>1096</v>
      </c>
      <c r="E76" t="s">
        <v>989</v>
      </c>
      <c r="F76" t="s">
        <v>988</v>
      </c>
    </row>
    <row r="77" spans="1:6" hidden="1" x14ac:dyDescent="0.25">
      <c r="A77" t="s">
        <v>5</v>
      </c>
      <c r="B77" t="s">
        <v>39</v>
      </c>
      <c r="C77" t="s">
        <v>40</v>
      </c>
      <c r="D77" t="s">
        <v>1097</v>
      </c>
      <c r="E77" t="s">
        <v>989</v>
      </c>
      <c r="F77" t="s">
        <v>988</v>
      </c>
    </row>
    <row r="78" spans="1:6" hidden="1" x14ac:dyDescent="0.25">
      <c r="A78" t="s">
        <v>5</v>
      </c>
      <c r="B78" t="s">
        <v>57</v>
      </c>
      <c r="C78" t="s">
        <v>58</v>
      </c>
      <c r="D78" t="s">
        <v>1098</v>
      </c>
      <c r="E78" t="s">
        <v>989</v>
      </c>
      <c r="F78" t="s">
        <v>988</v>
      </c>
    </row>
    <row r="79" spans="1:6" hidden="1" x14ac:dyDescent="0.25">
      <c r="A79" t="s">
        <v>5</v>
      </c>
      <c r="B79" t="s">
        <v>57</v>
      </c>
      <c r="C79" t="s">
        <v>58</v>
      </c>
      <c r="D79" t="s">
        <v>1099</v>
      </c>
      <c r="E79" t="s">
        <v>989</v>
      </c>
      <c r="F79" t="s">
        <v>988</v>
      </c>
    </row>
    <row r="80" spans="1:6" hidden="1" x14ac:dyDescent="0.25">
      <c r="A80" t="s">
        <v>83</v>
      </c>
      <c r="B80" t="s">
        <v>84</v>
      </c>
      <c r="C80" t="s">
        <v>83</v>
      </c>
      <c r="D80" t="s">
        <v>1100</v>
      </c>
      <c r="E80" t="s">
        <v>989</v>
      </c>
      <c r="F80" t="s">
        <v>988</v>
      </c>
    </row>
    <row r="81" spans="1:6" hidden="1" x14ac:dyDescent="0.25">
      <c r="A81" t="s">
        <v>83</v>
      </c>
      <c r="B81" t="s">
        <v>84</v>
      </c>
      <c r="C81" t="s">
        <v>83</v>
      </c>
      <c r="D81" t="s">
        <v>1101</v>
      </c>
      <c r="E81" t="s">
        <v>989</v>
      </c>
      <c r="F81" t="s">
        <v>988</v>
      </c>
    </row>
    <row r="82" spans="1:6" hidden="1" x14ac:dyDescent="0.25">
      <c r="A82" t="s">
        <v>83</v>
      </c>
      <c r="B82" t="s">
        <v>85</v>
      </c>
      <c r="C82" t="s">
        <v>86</v>
      </c>
      <c r="D82" t="s">
        <v>1102</v>
      </c>
      <c r="E82" t="s">
        <v>989</v>
      </c>
      <c r="F82" t="s">
        <v>988</v>
      </c>
    </row>
    <row r="83" spans="1:6" hidden="1" x14ac:dyDescent="0.25">
      <c r="A83" t="s">
        <v>83</v>
      </c>
      <c r="B83" t="s">
        <v>85</v>
      </c>
      <c r="C83" t="s">
        <v>86</v>
      </c>
      <c r="D83" t="s">
        <v>1103</v>
      </c>
      <c r="E83" t="s">
        <v>989</v>
      </c>
      <c r="F83" t="s">
        <v>988</v>
      </c>
    </row>
    <row r="84" spans="1:6" hidden="1" x14ac:dyDescent="0.25">
      <c r="A84" t="s">
        <v>83</v>
      </c>
      <c r="B84" t="s">
        <v>87</v>
      </c>
      <c r="C84" t="s">
        <v>88</v>
      </c>
      <c r="D84" t="s">
        <v>1104</v>
      </c>
      <c r="E84" t="s">
        <v>989</v>
      </c>
      <c r="F84" t="s">
        <v>988</v>
      </c>
    </row>
    <row r="85" spans="1:6" hidden="1" x14ac:dyDescent="0.25">
      <c r="A85" t="s">
        <v>83</v>
      </c>
      <c r="B85" t="s">
        <v>87</v>
      </c>
      <c r="C85" t="s">
        <v>88</v>
      </c>
      <c r="D85" t="s">
        <v>1105</v>
      </c>
      <c r="E85" t="s">
        <v>989</v>
      </c>
      <c r="F85" t="s">
        <v>988</v>
      </c>
    </row>
    <row r="86" spans="1:6" hidden="1" x14ac:dyDescent="0.25">
      <c r="A86" t="s">
        <v>83</v>
      </c>
      <c r="B86" t="s">
        <v>89</v>
      </c>
      <c r="C86" t="s">
        <v>90</v>
      </c>
      <c r="D86" t="s">
        <v>1106</v>
      </c>
      <c r="E86" t="s">
        <v>989</v>
      </c>
      <c r="F86" t="s">
        <v>988</v>
      </c>
    </row>
    <row r="87" spans="1:6" hidden="1" x14ac:dyDescent="0.25">
      <c r="A87" t="s">
        <v>83</v>
      </c>
      <c r="B87" t="s">
        <v>89</v>
      </c>
      <c r="C87" t="s">
        <v>90</v>
      </c>
      <c r="D87" t="s">
        <v>1107</v>
      </c>
      <c r="E87" t="s">
        <v>989</v>
      </c>
      <c r="F87" t="s">
        <v>988</v>
      </c>
    </row>
    <row r="88" spans="1:6" hidden="1" x14ac:dyDescent="0.25">
      <c r="A88" t="s">
        <v>83</v>
      </c>
      <c r="B88" t="s">
        <v>113</v>
      </c>
      <c r="C88" t="s">
        <v>114</v>
      </c>
      <c r="D88" t="s">
        <v>1108</v>
      </c>
      <c r="E88" t="s">
        <v>989</v>
      </c>
      <c r="F88" t="s">
        <v>988</v>
      </c>
    </row>
    <row r="89" spans="1:6" hidden="1" x14ac:dyDescent="0.25">
      <c r="A89" t="s">
        <v>83</v>
      </c>
      <c r="B89" t="s">
        <v>113</v>
      </c>
      <c r="C89" t="s">
        <v>114</v>
      </c>
      <c r="D89" t="s">
        <v>1109</v>
      </c>
      <c r="E89" t="s">
        <v>989</v>
      </c>
      <c r="F89" t="s">
        <v>988</v>
      </c>
    </row>
    <row r="90" spans="1:6" hidden="1" x14ac:dyDescent="0.25">
      <c r="A90" t="s">
        <v>83</v>
      </c>
      <c r="B90" t="s">
        <v>99</v>
      </c>
      <c r="C90" t="s">
        <v>100</v>
      </c>
      <c r="D90" t="s">
        <v>1110</v>
      </c>
      <c r="E90" t="s">
        <v>989</v>
      </c>
      <c r="F90" t="s">
        <v>988</v>
      </c>
    </row>
    <row r="91" spans="1:6" hidden="1" x14ac:dyDescent="0.25">
      <c r="A91" t="s">
        <v>83</v>
      </c>
      <c r="B91" t="s">
        <v>99</v>
      </c>
      <c r="C91" t="s">
        <v>100</v>
      </c>
      <c r="D91" t="s">
        <v>1111</v>
      </c>
      <c r="E91" t="s">
        <v>989</v>
      </c>
      <c r="F91" t="s">
        <v>988</v>
      </c>
    </row>
    <row r="92" spans="1:6" hidden="1" x14ac:dyDescent="0.25">
      <c r="A92" t="s">
        <v>83</v>
      </c>
      <c r="B92" t="s">
        <v>101</v>
      </c>
      <c r="C92" t="s">
        <v>102</v>
      </c>
      <c r="D92" t="s">
        <v>1112</v>
      </c>
      <c r="E92" t="s">
        <v>989</v>
      </c>
      <c r="F92" t="s">
        <v>988</v>
      </c>
    </row>
    <row r="93" spans="1:6" hidden="1" x14ac:dyDescent="0.25">
      <c r="A93" t="s">
        <v>83</v>
      </c>
      <c r="B93" t="s">
        <v>101</v>
      </c>
      <c r="C93" t="s">
        <v>102</v>
      </c>
      <c r="D93" t="s">
        <v>1113</v>
      </c>
      <c r="E93" t="s">
        <v>989</v>
      </c>
      <c r="F93" t="s">
        <v>988</v>
      </c>
    </row>
    <row r="94" spans="1:6" hidden="1" x14ac:dyDescent="0.25">
      <c r="A94" t="s">
        <v>83</v>
      </c>
      <c r="B94" t="s">
        <v>115</v>
      </c>
      <c r="C94" t="s">
        <v>116</v>
      </c>
      <c r="D94" t="s">
        <v>1114</v>
      </c>
      <c r="E94" t="s">
        <v>989</v>
      </c>
      <c r="F94" t="s">
        <v>988</v>
      </c>
    </row>
    <row r="95" spans="1:6" hidden="1" x14ac:dyDescent="0.25">
      <c r="A95" t="s">
        <v>83</v>
      </c>
      <c r="B95" t="s">
        <v>115</v>
      </c>
      <c r="C95" t="s">
        <v>116</v>
      </c>
      <c r="D95" t="s">
        <v>1115</v>
      </c>
      <c r="E95" t="s">
        <v>989</v>
      </c>
      <c r="F95" t="s">
        <v>988</v>
      </c>
    </row>
    <row r="96" spans="1:6" hidden="1" x14ac:dyDescent="0.25">
      <c r="A96" t="s">
        <v>83</v>
      </c>
      <c r="B96" t="s">
        <v>91</v>
      </c>
      <c r="C96" t="s">
        <v>92</v>
      </c>
      <c r="D96" t="s">
        <v>1116</v>
      </c>
      <c r="E96" t="s">
        <v>989</v>
      </c>
      <c r="F96" t="s">
        <v>988</v>
      </c>
    </row>
    <row r="97" spans="1:6" hidden="1" x14ac:dyDescent="0.25">
      <c r="A97" t="s">
        <v>83</v>
      </c>
      <c r="B97" t="s">
        <v>91</v>
      </c>
      <c r="C97" t="s">
        <v>92</v>
      </c>
      <c r="D97" t="s">
        <v>1117</v>
      </c>
      <c r="E97" t="s">
        <v>989</v>
      </c>
      <c r="F97" t="s">
        <v>988</v>
      </c>
    </row>
    <row r="98" spans="1:6" hidden="1" x14ac:dyDescent="0.25">
      <c r="A98" t="s">
        <v>83</v>
      </c>
      <c r="B98" t="s">
        <v>121</v>
      </c>
      <c r="C98" t="s">
        <v>122</v>
      </c>
      <c r="D98" t="s">
        <v>1118</v>
      </c>
      <c r="E98" t="s">
        <v>945</v>
      </c>
      <c r="F98" t="s">
        <v>923</v>
      </c>
    </row>
    <row r="99" spans="1:6" hidden="1" x14ac:dyDescent="0.25">
      <c r="A99" t="s">
        <v>83</v>
      </c>
      <c r="B99" t="s">
        <v>121</v>
      </c>
      <c r="C99" t="s">
        <v>122</v>
      </c>
      <c r="D99" t="s">
        <v>1119</v>
      </c>
      <c r="E99" t="s">
        <v>945</v>
      </c>
      <c r="F99" t="s">
        <v>923</v>
      </c>
    </row>
    <row r="100" spans="1:6" hidden="1" x14ac:dyDescent="0.25">
      <c r="A100" t="s">
        <v>83</v>
      </c>
      <c r="B100" t="s">
        <v>119</v>
      </c>
      <c r="C100" t="s">
        <v>120</v>
      </c>
      <c r="D100" t="s">
        <v>1120</v>
      </c>
      <c r="E100" t="s">
        <v>949</v>
      </c>
      <c r="F100" t="s">
        <v>923</v>
      </c>
    </row>
    <row r="101" spans="1:6" hidden="1" x14ac:dyDescent="0.25">
      <c r="A101" t="s">
        <v>83</v>
      </c>
      <c r="B101" t="s">
        <v>119</v>
      </c>
      <c r="C101" t="s">
        <v>120</v>
      </c>
      <c r="D101" t="s">
        <v>1121</v>
      </c>
      <c r="E101" t="s">
        <v>949</v>
      </c>
      <c r="F101" t="s">
        <v>923</v>
      </c>
    </row>
    <row r="102" spans="1:6" hidden="1" x14ac:dyDescent="0.25">
      <c r="A102" t="s">
        <v>83</v>
      </c>
      <c r="B102" t="s">
        <v>97</v>
      </c>
      <c r="C102" t="s">
        <v>98</v>
      </c>
      <c r="D102" t="s">
        <v>1122</v>
      </c>
      <c r="E102" t="s">
        <v>989</v>
      </c>
      <c r="F102" t="s">
        <v>988</v>
      </c>
    </row>
    <row r="103" spans="1:6" hidden="1" x14ac:dyDescent="0.25">
      <c r="A103" t="s">
        <v>83</v>
      </c>
      <c r="B103" t="s">
        <v>97</v>
      </c>
      <c r="C103" t="s">
        <v>98</v>
      </c>
      <c r="D103" t="s">
        <v>1123</v>
      </c>
      <c r="E103" t="s">
        <v>989</v>
      </c>
      <c r="F103" t="s">
        <v>988</v>
      </c>
    </row>
    <row r="104" spans="1:6" hidden="1" x14ac:dyDescent="0.25">
      <c r="A104" t="s">
        <v>83</v>
      </c>
      <c r="B104" t="s">
        <v>93</v>
      </c>
      <c r="C104" t="s">
        <v>94</v>
      </c>
      <c r="D104" t="s">
        <v>1124</v>
      </c>
      <c r="E104" t="s">
        <v>989</v>
      </c>
      <c r="F104" t="s">
        <v>988</v>
      </c>
    </row>
    <row r="105" spans="1:6" hidden="1" x14ac:dyDescent="0.25">
      <c r="A105" t="s">
        <v>83</v>
      </c>
      <c r="B105" t="s">
        <v>93</v>
      </c>
      <c r="C105" t="s">
        <v>94</v>
      </c>
      <c r="D105" t="s">
        <v>1125</v>
      </c>
      <c r="E105" t="s">
        <v>989</v>
      </c>
      <c r="F105" t="s">
        <v>988</v>
      </c>
    </row>
    <row r="106" spans="1:6" hidden="1" x14ac:dyDescent="0.25">
      <c r="A106" t="s">
        <v>83</v>
      </c>
      <c r="B106" t="s">
        <v>95</v>
      </c>
      <c r="C106" t="s">
        <v>96</v>
      </c>
      <c r="D106" t="s">
        <v>1126</v>
      </c>
      <c r="E106" t="s">
        <v>989</v>
      </c>
      <c r="F106" t="s">
        <v>988</v>
      </c>
    </row>
    <row r="107" spans="1:6" hidden="1" x14ac:dyDescent="0.25">
      <c r="A107" t="s">
        <v>83</v>
      </c>
      <c r="B107" t="s">
        <v>95</v>
      </c>
      <c r="C107" t="s">
        <v>96</v>
      </c>
      <c r="D107" t="s">
        <v>1127</v>
      </c>
      <c r="E107" t="s">
        <v>989</v>
      </c>
      <c r="F107" t="s">
        <v>988</v>
      </c>
    </row>
    <row r="108" spans="1:6" hidden="1" x14ac:dyDescent="0.25">
      <c r="A108" t="s">
        <v>83</v>
      </c>
      <c r="B108" t="s">
        <v>111</v>
      </c>
      <c r="C108" t="s">
        <v>112</v>
      </c>
      <c r="D108" t="s">
        <v>1128</v>
      </c>
      <c r="E108" t="s">
        <v>989</v>
      </c>
      <c r="F108" t="s">
        <v>988</v>
      </c>
    </row>
    <row r="109" spans="1:6" hidden="1" x14ac:dyDescent="0.25">
      <c r="A109" t="s">
        <v>83</v>
      </c>
      <c r="B109" t="s">
        <v>111</v>
      </c>
      <c r="C109" t="s">
        <v>112</v>
      </c>
      <c r="D109" t="s">
        <v>1129</v>
      </c>
      <c r="E109" t="s">
        <v>989</v>
      </c>
      <c r="F109" t="s">
        <v>988</v>
      </c>
    </row>
    <row r="110" spans="1:6" hidden="1" x14ac:dyDescent="0.25">
      <c r="A110" t="s">
        <v>83</v>
      </c>
      <c r="B110" t="s">
        <v>107</v>
      </c>
      <c r="C110" t="s">
        <v>108</v>
      </c>
      <c r="D110" t="s">
        <v>1130</v>
      </c>
      <c r="E110" t="s">
        <v>989</v>
      </c>
      <c r="F110" t="s">
        <v>988</v>
      </c>
    </row>
    <row r="111" spans="1:6" hidden="1" x14ac:dyDescent="0.25">
      <c r="A111" t="s">
        <v>83</v>
      </c>
      <c r="B111" t="s">
        <v>107</v>
      </c>
      <c r="C111" t="s">
        <v>108</v>
      </c>
      <c r="D111" t="s">
        <v>1131</v>
      </c>
      <c r="E111" t="s">
        <v>989</v>
      </c>
      <c r="F111" t="s">
        <v>988</v>
      </c>
    </row>
    <row r="112" spans="1:6" hidden="1" x14ac:dyDescent="0.25">
      <c r="A112" t="s">
        <v>83</v>
      </c>
      <c r="B112" t="s">
        <v>109</v>
      </c>
      <c r="C112" t="s">
        <v>110</v>
      </c>
      <c r="D112" t="s">
        <v>1132</v>
      </c>
      <c r="E112" t="s">
        <v>989</v>
      </c>
      <c r="F112" t="s">
        <v>988</v>
      </c>
    </row>
    <row r="113" spans="1:6" hidden="1" x14ac:dyDescent="0.25">
      <c r="A113" t="s">
        <v>83</v>
      </c>
      <c r="B113" t="s">
        <v>109</v>
      </c>
      <c r="C113" t="s">
        <v>110</v>
      </c>
      <c r="D113" t="s">
        <v>1133</v>
      </c>
      <c r="E113" t="s">
        <v>989</v>
      </c>
      <c r="F113" t="s">
        <v>988</v>
      </c>
    </row>
    <row r="114" spans="1:6" hidden="1" x14ac:dyDescent="0.25">
      <c r="A114" t="s">
        <v>83</v>
      </c>
      <c r="B114" t="s">
        <v>105</v>
      </c>
      <c r="C114" t="s">
        <v>106</v>
      </c>
      <c r="D114" t="s">
        <v>1134</v>
      </c>
      <c r="E114" t="s">
        <v>989</v>
      </c>
      <c r="F114" t="s">
        <v>988</v>
      </c>
    </row>
    <row r="115" spans="1:6" hidden="1" x14ac:dyDescent="0.25">
      <c r="A115" t="s">
        <v>83</v>
      </c>
      <c r="B115" t="s">
        <v>105</v>
      </c>
      <c r="C115" t="s">
        <v>106</v>
      </c>
      <c r="D115" t="s">
        <v>1135</v>
      </c>
      <c r="E115" t="s">
        <v>989</v>
      </c>
      <c r="F115" t="s">
        <v>988</v>
      </c>
    </row>
    <row r="116" spans="1:6" hidden="1" x14ac:dyDescent="0.25">
      <c r="A116" t="s">
        <v>83</v>
      </c>
      <c r="B116" t="s">
        <v>117</v>
      </c>
      <c r="C116" t="s">
        <v>118</v>
      </c>
      <c r="D116" t="s">
        <v>1136</v>
      </c>
      <c r="E116" t="s">
        <v>989</v>
      </c>
      <c r="F116" t="s">
        <v>988</v>
      </c>
    </row>
    <row r="117" spans="1:6" hidden="1" x14ac:dyDescent="0.25">
      <c r="A117" t="s">
        <v>83</v>
      </c>
      <c r="B117" t="s">
        <v>117</v>
      </c>
      <c r="C117" t="s">
        <v>118</v>
      </c>
      <c r="D117" t="s">
        <v>1137</v>
      </c>
      <c r="E117" t="s">
        <v>989</v>
      </c>
      <c r="F117" t="s">
        <v>988</v>
      </c>
    </row>
    <row r="118" spans="1:6" x14ac:dyDescent="0.25">
      <c r="A118" t="s">
        <v>421</v>
      </c>
      <c r="B118" t="s">
        <v>422</v>
      </c>
      <c r="C118" t="s">
        <v>423</v>
      </c>
      <c r="D118" t="s">
        <v>1138</v>
      </c>
      <c r="E118" t="s">
        <v>1020</v>
      </c>
      <c r="F118" t="s">
        <v>1020</v>
      </c>
    </row>
    <row r="119" spans="1:6" x14ac:dyDescent="0.25">
      <c r="A119" t="s">
        <v>421</v>
      </c>
      <c r="B119" t="s">
        <v>422</v>
      </c>
      <c r="C119" t="s">
        <v>423</v>
      </c>
      <c r="D119" t="s">
        <v>1139</v>
      </c>
      <c r="E119" t="s">
        <v>1020</v>
      </c>
      <c r="F119" t="s">
        <v>1020</v>
      </c>
    </row>
    <row r="120" spans="1:6" x14ac:dyDescent="0.25">
      <c r="A120" t="s">
        <v>421</v>
      </c>
      <c r="B120" t="s">
        <v>424</v>
      </c>
      <c r="C120" t="s">
        <v>425</v>
      </c>
      <c r="D120" t="s">
        <v>1140</v>
      </c>
      <c r="E120" t="s">
        <v>1020</v>
      </c>
      <c r="F120" t="s">
        <v>1020</v>
      </c>
    </row>
    <row r="121" spans="1:6" x14ac:dyDescent="0.25">
      <c r="A121" t="s">
        <v>421</v>
      </c>
      <c r="B121" t="s">
        <v>424</v>
      </c>
      <c r="C121" t="s">
        <v>425</v>
      </c>
      <c r="D121" t="s">
        <v>1141</v>
      </c>
      <c r="E121" t="s">
        <v>1020</v>
      </c>
      <c r="F121" t="s">
        <v>1020</v>
      </c>
    </row>
    <row r="122" spans="1:6" x14ac:dyDescent="0.25">
      <c r="A122" t="s">
        <v>421</v>
      </c>
      <c r="B122" t="s">
        <v>426</v>
      </c>
      <c r="C122" t="s">
        <v>427</v>
      </c>
      <c r="D122" t="s">
        <v>1142</v>
      </c>
      <c r="E122" t="s">
        <v>1020</v>
      </c>
      <c r="F122" t="s">
        <v>1020</v>
      </c>
    </row>
    <row r="123" spans="1:6" x14ac:dyDescent="0.25">
      <c r="A123" t="s">
        <v>421</v>
      </c>
      <c r="B123" t="s">
        <v>426</v>
      </c>
      <c r="C123" t="s">
        <v>427</v>
      </c>
      <c r="D123" t="s">
        <v>1143</v>
      </c>
      <c r="E123" t="s">
        <v>1020</v>
      </c>
      <c r="F123" t="s">
        <v>1020</v>
      </c>
    </row>
    <row r="124" spans="1:6" hidden="1" x14ac:dyDescent="0.25">
      <c r="A124" t="s">
        <v>421</v>
      </c>
      <c r="B124" t="s">
        <v>428</v>
      </c>
      <c r="C124" t="s">
        <v>429</v>
      </c>
      <c r="D124" t="s">
        <v>1144</v>
      </c>
      <c r="E124" t="s">
        <v>989</v>
      </c>
      <c r="F124" t="s">
        <v>988</v>
      </c>
    </row>
    <row r="125" spans="1:6" hidden="1" x14ac:dyDescent="0.25">
      <c r="A125" t="s">
        <v>421</v>
      </c>
      <c r="B125" t="s">
        <v>428</v>
      </c>
      <c r="C125" t="s">
        <v>429</v>
      </c>
      <c r="D125" t="s">
        <v>1145</v>
      </c>
      <c r="E125" t="s">
        <v>989</v>
      </c>
      <c r="F125" t="s">
        <v>988</v>
      </c>
    </row>
    <row r="126" spans="1:6" x14ac:dyDescent="0.25">
      <c r="A126" t="s">
        <v>421</v>
      </c>
      <c r="B126" t="s">
        <v>430</v>
      </c>
      <c r="C126" t="s">
        <v>431</v>
      </c>
      <c r="D126" t="s">
        <v>1146</v>
      </c>
      <c r="E126" t="s">
        <v>1020</v>
      </c>
      <c r="F126" t="s">
        <v>1020</v>
      </c>
    </row>
    <row r="127" spans="1:6" x14ac:dyDescent="0.25">
      <c r="A127" t="s">
        <v>421</v>
      </c>
      <c r="B127" t="s">
        <v>430</v>
      </c>
      <c r="C127" t="s">
        <v>431</v>
      </c>
      <c r="D127" t="s">
        <v>1147</v>
      </c>
      <c r="E127" t="s">
        <v>1020</v>
      </c>
      <c r="F127" t="s">
        <v>1020</v>
      </c>
    </row>
    <row r="128" spans="1:6" x14ac:dyDescent="0.25">
      <c r="A128" t="s">
        <v>421</v>
      </c>
      <c r="B128" t="s">
        <v>432</v>
      </c>
      <c r="C128" t="s">
        <v>258</v>
      </c>
      <c r="D128" t="s">
        <v>1148</v>
      </c>
      <c r="E128" t="s">
        <v>1020</v>
      </c>
      <c r="F128" t="s">
        <v>1020</v>
      </c>
    </row>
    <row r="129" spans="1:6" x14ac:dyDescent="0.25">
      <c r="A129" t="s">
        <v>421</v>
      </c>
      <c r="B129" t="s">
        <v>432</v>
      </c>
      <c r="C129" t="s">
        <v>258</v>
      </c>
      <c r="D129" t="s">
        <v>1149</v>
      </c>
      <c r="E129" t="s">
        <v>1020</v>
      </c>
      <c r="F129" t="s">
        <v>1020</v>
      </c>
    </row>
    <row r="130" spans="1:6" x14ac:dyDescent="0.25">
      <c r="A130" t="s">
        <v>421</v>
      </c>
      <c r="B130" t="s">
        <v>433</v>
      </c>
      <c r="C130" t="s">
        <v>434</v>
      </c>
      <c r="D130" t="s">
        <v>1150</v>
      </c>
      <c r="E130" t="s">
        <v>1020</v>
      </c>
      <c r="F130" t="s">
        <v>1020</v>
      </c>
    </row>
    <row r="131" spans="1:6" x14ac:dyDescent="0.25">
      <c r="A131" t="s">
        <v>421</v>
      </c>
      <c r="B131" t="s">
        <v>433</v>
      </c>
      <c r="C131" t="s">
        <v>434</v>
      </c>
      <c r="D131" t="s">
        <v>1151</v>
      </c>
      <c r="E131" t="s">
        <v>1020</v>
      </c>
      <c r="F131" t="s">
        <v>1020</v>
      </c>
    </row>
    <row r="132" spans="1:6" x14ac:dyDescent="0.25">
      <c r="A132" t="s">
        <v>421</v>
      </c>
      <c r="B132" t="s">
        <v>435</v>
      </c>
      <c r="C132" t="s">
        <v>436</v>
      </c>
      <c r="D132" t="s">
        <v>1152</v>
      </c>
      <c r="E132" t="s">
        <v>1020</v>
      </c>
      <c r="F132" t="s">
        <v>1020</v>
      </c>
    </row>
    <row r="133" spans="1:6" x14ac:dyDescent="0.25">
      <c r="A133" t="s">
        <v>421</v>
      </c>
      <c r="B133" t="s">
        <v>435</v>
      </c>
      <c r="C133" t="s">
        <v>436</v>
      </c>
      <c r="D133" t="s">
        <v>1153</v>
      </c>
      <c r="E133" t="s">
        <v>1020</v>
      </c>
      <c r="F133" t="s">
        <v>1020</v>
      </c>
    </row>
    <row r="134" spans="1:6" hidden="1" x14ac:dyDescent="0.25">
      <c r="A134" t="s">
        <v>421</v>
      </c>
      <c r="B134" t="s">
        <v>437</v>
      </c>
      <c r="C134" t="s">
        <v>421</v>
      </c>
      <c r="D134" t="s">
        <v>1154</v>
      </c>
      <c r="E134" t="s">
        <v>989</v>
      </c>
      <c r="F134" t="s">
        <v>988</v>
      </c>
    </row>
    <row r="135" spans="1:6" hidden="1" x14ac:dyDescent="0.25">
      <c r="A135" t="s">
        <v>421</v>
      </c>
      <c r="B135" t="s">
        <v>437</v>
      </c>
      <c r="C135" t="s">
        <v>421</v>
      </c>
      <c r="D135" t="s">
        <v>1155</v>
      </c>
      <c r="E135" t="s">
        <v>989</v>
      </c>
      <c r="F135" t="s">
        <v>988</v>
      </c>
    </row>
    <row r="136" spans="1:6" hidden="1" x14ac:dyDescent="0.25">
      <c r="A136" t="s">
        <v>421</v>
      </c>
      <c r="B136" t="s">
        <v>438</v>
      </c>
      <c r="C136" t="s">
        <v>439</v>
      </c>
      <c r="D136" t="s">
        <v>1156</v>
      </c>
      <c r="E136" t="s">
        <v>989</v>
      </c>
      <c r="F136" t="s">
        <v>988</v>
      </c>
    </row>
    <row r="137" spans="1:6" hidden="1" x14ac:dyDescent="0.25">
      <c r="A137" t="s">
        <v>421</v>
      </c>
      <c r="B137" t="s">
        <v>438</v>
      </c>
      <c r="C137" t="s">
        <v>439</v>
      </c>
      <c r="D137" t="s">
        <v>1157</v>
      </c>
      <c r="E137" t="s">
        <v>989</v>
      </c>
      <c r="F137" t="s">
        <v>988</v>
      </c>
    </row>
    <row r="138" spans="1:6" hidden="1" x14ac:dyDescent="0.25">
      <c r="A138" t="s">
        <v>421</v>
      </c>
      <c r="B138" t="s">
        <v>440</v>
      </c>
      <c r="C138" t="s">
        <v>441</v>
      </c>
      <c r="D138" t="s">
        <v>1158</v>
      </c>
      <c r="E138" t="s">
        <v>989</v>
      </c>
      <c r="F138" t="s">
        <v>988</v>
      </c>
    </row>
    <row r="139" spans="1:6" hidden="1" x14ac:dyDescent="0.25">
      <c r="A139" t="s">
        <v>421</v>
      </c>
      <c r="B139" t="s">
        <v>440</v>
      </c>
      <c r="C139" t="s">
        <v>441</v>
      </c>
      <c r="D139" t="s">
        <v>1159</v>
      </c>
      <c r="E139" t="s">
        <v>989</v>
      </c>
      <c r="F139" t="s">
        <v>988</v>
      </c>
    </row>
    <row r="140" spans="1:6" hidden="1" x14ac:dyDescent="0.25">
      <c r="A140" t="s">
        <v>421</v>
      </c>
      <c r="B140" t="s">
        <v>442</v>
      </c>
      <c r="C140" t="s">
        <v>443</v>
      </c>
      <c r="D140" t="s">
        <v>1160</v>
      </c>
      <c r="E140" t="s">
        <v>989</v>
      </c>
      <c r="F140" t="s">
        <v>988</v>
      </c>
    </row>
    <row r="141" spans="1:6" hidden="1" x14ac:dyDescent="0.25">
      <c r="A141" t="s">
        <v>421</v>
      </c>
      <c r="B141" t="s">
        <v>442</v>
      </c>
      <c r="C141" t="s">
        <v>443</v>
      </c>
      <c r="D141" t="s">
        <v>1161</v>
      </c>
      <c r="E141" t="s">
        <v>989</v>
      </c>
      <c r="F141" t="s">
        <v>988</v>
      </c>
    </row>
    <row r="142" spans="1:6" hidden="1" x14ac:dyDescent="0.25">
      <c r="A142" t="s">
        <v>421</v>
      </c>
      <c r="B142" t="s">
        <v>444</v>
      </c>
      <c r="C142" t="s">
        <v>445</v>
      </c>
      <c r="D142" t="s">
        <v>1162</v>
      </c>
      <c r="E142" t="s">
        <v>989</v>
      </c>
      <c r="F142" t="s">
        <v>988</v>
      </c>
    </row>
    <row r="143" spans="1:6" hidden="1" x14ac:dyDescent="0.25">
      <c r="A143" t="s">
        <v>421</v>
      </c>
      <c r="B143" t="s">
        <v>444</v>
      </c>
      <c r="C143" t="s">
        <v>445</v>
      </c>
      <c r="D143" t="s">
        <v>1163</v>
      </c>
      <c r="E143" t="s">
        <v>989</v>
      </c>
      <c r="F143" t="s">
        <v>988</v>
      </c>
    </row>
    <row r="144" spans="1:6" hidden="1" x14ac:dyDescent="0.25">
      <c r="A144" t="s">
        <v>421</v>
      </c>
      <c r="B144" t="s">
        <v>446</v>
      </c>
      <c r="C144" t="s">
        <v>447</v>
      </c>
      <c r="D144" t="s">
        <v>1164</v>
      </c>
      <c r="E144" t="s">
        <v>989</v>
      </c>
      <c r="F144" t="s">
        <v>988</v>
      </c>
    </row>
    <row r="145" spans="1:6" hidden="1" x14ac:dyDescent="0.25">
      <c r="A145" t="s">
        <v>421</v>
      </c>
      <c r="B145" t="s">
        <v>446</v>
      </c>
      <c r="C145" t="s">
        <v>447</v>
      </c>
      <c r="D145" t="s">
        <v>1165</v>
      </c>
      <c r="E145" t="s">
        <v>989</v>
      </c>
      <c r="F145" t="s">
        <v>988</v>
      </c>
    </row>
    <row r="146" spans="1:6" hidden="1" x14ac:dyDescent="0.25">
      <c r="A146" t="s">
        <v>421</v>
      </c>
      <c r="B146" t="s">
        <v>448</v>
      </c>
      <c r="C146" t="s">
        <v>449</v>
      </c>
      <c r="D146" t="s">
        <v>1166</v>
      </c>
      <c r="E146" t="s">
        <v>989</v>
      </c>
      <c r="F146" t="s">
        <v>988</v>
      </c>
    </row>
    <row r="147" spans="1:6" hidden="1" x14ac:dyDescent="0.25">
      <c r="A147" t="s">
        <v>421</v>
      </c>
      <c r="B147" t="s">
        <v>448</v>
      </c>
      <c r="C147" t="s">
        <v>449</v>
      </c>
      <c r="D147" t="s">
        <v>1167</v>
      </c>
      <c r="E147" t="s">
        <v>989</v>
      </c>
      <c r="F147" t="s">
        <v>988</v>
      </c>
    </row>
    <row r="148" spans="1:6" hidden="1" x14ac:dyDescent="0.25">
      <c r="A148" t="s">
        <v>421</v>
      </c>
      <c r="B148" t="s">
        <v>450</v>
      </c>
      <c r="C148" t="s">
        <v>451</v>
      </c>
      <c r="D148" t="s">
        <v>1168</v>
      </c>
      <c r="E148" t="s">
        <v>989</v>
      </c>
      <c r="F148" t="s">
        <v>988</v>
      </c>
    </row>
    <row r="149" spans="1:6" hidden="1" x14ac:dyDescent="0.25">
      <c r="A149" t="s">
        <v>421</v>
      </c>
      <c r="B149" t="s">
        <v>450</v>
      </c>
      <c r="C149" t="s">
        <v>451</v>
      </c>
      <c r="D149" t="s">
        <v>1169</v>
      </c>
      <c r="E149" t="s">
        <v>989</v>
      </c>
      <c r="F149" t="s">
        <v>988</v>
      </c>
    </row>
    <row r="150" spans="1:6" hidden="1" x14ac:dyDescent="0.25">
      <c r="A150" t="s">
        <v>471</v>
      </c>
      <c r="B150" t="s">
        <v>472</v>
      </c>
      <c r="C150" t="s">
        <v>473</v>
      </c>
      <c r="D150" t="s">
        <v>1170</v>
      </c>
      <c r="E150" t="s">
        <v>947</v>
      </c>
      <c r="F150" t="s">
        <v>923</v>
      </c>
    </row>
    <row r="151" spans="1:6" hidden="1" x14ac:dyDescent="0.25">
      <c r="A151" t="s">
        <v>471</v>
      </c>
      <c r="B151" t="s">
        <v>472</v>
      </c>
      <c r="C151" t="s">
        <v>473</v>
      </c>
      <c r="D151" t="s">
        <v>1171</v>
      </c>
      <c r="E151" t="s">
        <v>947</v>
      </c>
      <c r="F151" t="s">
        <v>923</v>
      </c>
    </row>
    <row r="152" spans="1:6" hidden="1" x14ac:dyDescent="0.25">
      <c r="A152" t="s">
        <v>452</v>
      </c>
      <c r="B152" t="s">
        <v>457</v>
      </c>
      <c r="C152" t="s">
        <v>458</v>
      </c>
      <c r="D152" t="s">
        <v>1172</v>
      </c>
      <c r="E152" t="s">
        <v>978</v>
      </c>
      <c r="F152" t="s">
        <v>923</v>
      </c>
    </row>
    <row r="153" spans="1:6" hidden="1" x14ac:dyDescent="0.25">
      <c r="A153" t="s">
        <v>452</v>
      </c>
      <c r="B153" t="s">
        <v>457</v>
      </c>
      <c r="C153" t="s">
        <v>458</v>
      </c>
      <c r="D153" t="s">
        <v>1173</v>
      </c>
      <c r="E153" t="s">
        <v>978</v>
      </c>
      <c r="F153" t="s">
        <v>923</v>
      </c>
    </row>
    <row r="154" spans="1:6" hidden="1" x14ac:dyDescent="0.25">
      <c r="A154" t="s">
        <v>452</v>
      </c>
      <c r="B154" t="s">
        <v>455</v>
      </c>
      <c r="C154" t="s">
        <v>456</v>
      </c>
      <c r="D154" t="s">
        <v>1174</v>
      </c>
      <c r="E154" t="s">
        <v>978</v>
      </c>
      <c r="F154" t="s">
        <v>923</v>
      </c>
    </row>
    <row r="155" spans="1:6" hidden="1" x14ac:dyDescent="0.25">
      <c r="A155" t="s">
        <v>452</v>
      </c>
      <c r="B155" t="s">
        <v>455</v>
      </c>
      <c r="C155" t="s">
        <v>456</v>
      </c>
      <c r="D155" t="s">
        <v>1175</v>
      </c>
      <c r="E155" t="s">
        <v>978</v>
      </c>
      <c r="F155" t="s">
        <v>923</v>
      </c>
    </row>
    <row r="156" spans="1:6" hidden="1" x14ac:dyDescent="0.25">
      <c r="A156" t="s">
        <v>452</v>
      </c>
      <c r="B156" t="s">
        <v>459</v>
      </c>
      <c r="C156" t="s">
        <v>460</v>
      </c>
      <c r="D156" t="s">
        <v>1176</v>
      </c>
      <c r="E156" t="s">
        <v>989</v>
      </c>
      <c r="F156" t="s">
        <v>988</v>
      </c>
    </row>
    <row r="157" spans="1:6" hidden="1" x14ac:dyDescent="0.25">
      <c r="A157" t="s">
        <v>452</v>
      </c>
      <c r="B157" t="s">
        <v>459</v>
      </c>
      <c r="C157" t="s">
        <v>460</v>
      </c>
      <c r="D157" t="s">
        <v>1177</v>
      </c>
      <c r="E157" t="s">
        <v>989</v>
      </c>
      <c r="F157" t="s">
        <v>988</v>
      </c>
    </row>
    <row r="158" spans="1:6" hidden="1" x14ac:dyDescent="0.25">
      <c r="A158" t="s">
        <v>452</v>
      </c>
      <c r="B158" t="s">
        <v>463</v>
      </c>
      <c r="C158" t="s">
        <v>464</v>
      </c>
      <c r="D158" t="s">
        <v>1178</v>
      </c>
      <c r="E158" t="s">
        <v>980</v>
      </c>
      <c r="F158" t="s">
        <v>923</v>
      </c>
    </row>
    <row r="159" spans="1:6" hidden="1" x14ac:dyDescent="0.25">
      <c r="A159" t="s">
        <v>452</v>
      </c>
      <c r="B159" t="s">
        <v>463</v>
      </c>
      <c r="C159" t="s">
        <v>464</v>
      </c>
      <c r="D159" t="s">
        <v>1179</v>
      </c>
      <c r="E159" t="s">
        <v>980</v>
      </c>
      <c r="F159" t="s">
        <v>923</v>
      </c>
    </row>
    <row r="160" spans="1:6" hidden="1" x14ac:dyDescent="0.25">
      <c r="A160" t="s">
        <v>452</v>
      </c>
      <c r="B160" t="s">
        <v>461</v>
      </c>
      <c r="C160" t="s">
        <v>462</v>
      </c>
      <c r="D160" t="s">
        <v>1180</v>
      </c>
      <c r="E160" t="s">
        <v>978</v>
      </c>
      <c r="F160" t="s">
        <v>923</v>
      </c>
    </row>
    <row r="161" spans="1:6" hidden="1" x14ac:dyDescent="0.25">
      <c r="A161" t="s">
        <v>452</v>
      </c>
      <c r="B161" t="s">
        <v>461</v>
      </c>
      <c r="C161" t="s">
        <v>462</v>
      </c>
      <c r="D161" t="s">
        <v>1181</v>
      </c>
      <c r="E161" t="s">
        <v>978</v>
      </c>
      <c r="F161" t="s">
        <v>923</v>
      </c>
    </row>
    <row r="162" spans="1:6" hidden="1" x14ac:dyDescent="0.25">
      <c r="A162" t="s">
        <v>452</v>
      </c>
      <c r="B162" t="s">
        <v>453</v>
      </c>
      <c r="C162" t="s">
        <v>454</v>
      </c>
      <c r="D162" t="s">
        <v>1182</v>
      </c>
      <c r="E162" t="s">
        <v>991</v>
      </c>
      <c r="F162" t="s">
        <v>988</v>
      </c>
    </row>
    <row r="163" spans="1:6" hidden="1" x14ac:dyDescent="0.25">
      <c r="A163" t="s">
        <v>452</v>
      </c>
      <c r="B163" t="s">
        <v>453</v>
      </c>
      <c r="C163" t="s">
        <v>454</v>
      </c>
      <c r="D163" t="s">
        <v>1183</v>
      </c>
      <c r="E163" t="s">
        <v>991</v>
      </c>
      <c r="F163" t="s">
        <v>988</v>
      </c>
    </row>
    <row r="164" spans="1:6" hidden="1" x14ac:dyDescent="0.25">
      <c r="A164" t="s">
        <v>543</v>
      </c>
      <c r="B164" t="s">
        <v>546</v>
      </c>
      <c r="C164" t="s">
        <v>547</v>
      </c>
      <c r="D164" t="s">
        <v>1184</v>
      </c>
      <c r="E164" t="s">
        <v>952</v>
      </c>
      <c r="F164" t="s">
        <v>923</v>
      </c>
    </row>
    <row r="165" spans="1:6" hidden="1" x14ac:dyDescent="0.25">
      <c r="A165" t="s">
        <v>543</v>
      </c>
      <c r="B165" t="s">
        <v>546</v>
      </c>
      <c r="C165" t="s">
        <v>547</v>
      </c>
      <c r="D165" t="s">
        <v>1185</v>
      </c>
      <c r="E165" t="s">
        <v>952</v>
      </c>
      <c r="F165" t="s">
        <v>923</v>
      </c>
    </row>
    <row r="166" spans="1:6" hidden="1" x14ac:dyDescent="0.25">
      <c r="A166" t="s">
        <v>543</v>
      </c>
      <c r="B166" t="s">
        <v>800</v>
      </c>
      <c r="C166" t="s">
        <v>801</v>
      </c>
      <c r="D166" t="s">
        <v>1186</v>
      </c>
      <c r="E166" t="str">
        <f>_xlfn.IFNA(INDEX(RETAIL__29[Nhóm KH], MATCH(DS_Khach_hang[[#This Row],[TÀI KHOẢN LƯU KÝ]], RETAIL__29[Số TK lưu ký KH], 0)) &amp; "", "")</f>
        <v>Standard</v>
      </c>
      <c r="F166" t="str">
        <f>_xlfn.IFNA(INDEX(RETAIL__29[Loại TK], MATCH(DS_Khach_hang[[#This Row],[TÀI KHOẢN LƯU KÝ]], RETAIL__29[Số TK lưu ký KH], 0)) &amp; "", "")</f>
        <v>RETAIL</v>
      </c>
    </row>
    <row r="167" spans="1:6" hidden="1" x14ac:dyDescent="0.25">
      <c r="A167" t="s">
        <v>543</v>
      </c>
      <c r="B167" t="s">
        <v>800</v>
      </c>
      <c r="C167" t="s">
        <v>801</v>
      </c>
      <c r="D167" t="s">
        <v>1187</v>
      </c>
      <c r="E167" t="str">
        <f>_xlfn.IFNA(INDEX(RETAIL__29[Nhóm KH], MATCH(DS_Khach_hang[[#This Row],[TÀI KHOẢN LƯU KÝ]], RETAIL__29[Số TK lưu ký KH], 0)) &amp; "", "")</f>
        <v>Standard</v>
      </c>
      <c r="F167" t="str">
        <f>_xlfn.IFNA(INDEX(RETAIL__29[Loại TK], MATCH(DS_Khach_hang[[#This Row],[TÀI KHOẢN LƯU KÝ]], RETAIL__29[Số TK lưu ký KH], 0)) &amp; "", "")</f>
        <v>RETAIL</v>
      </c>
    </row>
    <row r="168" spans="1:6" hidden="1" x14ac:dyDescent="0.25">
      <c r="A168" t="s">
        <v>543</v>
      </c>
      <c r="B168" t="s">
        <v>805</v>
      </c>
      <c r="C168" t="s">
        <v>806</v>
      </c>
      <c r="D168" t="s">
        <v>1188</v>
      </c>
      <c r="E168" t="str">
        <f>_xlfn.IFNA(INDEX(RETAIL__29[Nhóm KH], MATCH(DS_Khach_hang[[#This Row],[TÀI KHOẢN LƯU KÝ]], RETAIL__29[Số TK lưu ký KH], 0)) &amp; "", "")</f>
        <v>Standard</v>
      </c>
      <c r="F168" t="str">
        <f>_xlfn.IFNA(INDEX(RETAIL__29[Loại TK], MATCH(DS_Khach_hang[[#This Row],[TÀI KHOẢN LƯU KÝ]], RETAIL__29[Số TK lưu ký KH], 0)) &amp; "", "")</f>
        <v>RETAIL</v>
      </c>
    </row>
    <row r="169" spans="1:6" hidden="1" x14ac:dyDescent="0.25">
      <c r="A169" t="s">
        <v>543</v>
      </c>
      <c r="B169" t="s">
        <v>805</v>
      </c>
      <c r="C169" t="s">
        <v>806</v>
      </c>
      <c r="D169" t="s">
        <v>1189</v>
      </c>
      <c r="E169" t="str">
        <f>_xlfn.IFNA(INDEX(RETAIL__29[Nhóm KH], MATCH(DS_Khach_hang[[#This Row],[TÀI KHOẢN LƯU KÝ]], RETAIL__29[Số TK lưu ký KH], 0)) &amp; "", "")</f>
        <v>Standard</v>
      </c>
      <c r="F169" t="str">
        <f>_xlfn.IFNA(INDEX(RETAIL__29[Loại TK], MATCH(DS_Khach_hang[[#This Row],[TÀI KHOẢN LƯU KÝ]], RETAIL__29[Số TK lưu ký KH], 0)) &amp; "", "")</f>
        <v>RETAIL</v>
      </c>
    </row>
    <row r="170" spans="1:6" hidden="1" x14ac:dyDescent="0.25">
      <c r="A170" t="s">
        <v>543</v>
      </c>
      <c r="B170" t="s">
        <v>544</v>
      </c>
      <c r="C170" t="s">
        <v>545</v>
      </c>
      <c r="D170" t="s">
        <v>1190</v>
      </c>
      <c r="E170" t="s">
        <v>983</v>
      </c>
      <c r="F170" t="s">
        <v>923</v>
      </c>
    </row>
    <row r="171" spans="1:6" hidden="1" x14ac:dyDescent="0.25">
      <c r="A171" t="s">
        <v>543</v>
      </c>
      <c r="B171" t="s">
        <v>544</v>
      </c>
      <c r="C171" t="s">
        <v>545</v>
      </c>
      <c r="D171" t="s">
        <v>1191</v>
      </c>
      <c r="E171" t="s">
        <v>983</v>
      </c>
      <c r="F171" t="s">
        <v>923</v>
      </c>
    </row>
    <row r="172" spans="1:6" hidden="1" x14ac:dyDescent="0.25">
      <c r="A172" t="s">
        <v>487</v>
      </c>
      <c r="B172" t="s">
        <v>710</v>
      </c>
      <c r="C172" t="s">
        <v>487</v>
      </c>
      <c r="D172" t="s">
        <v>1192</v>
      </c>
      <c r="E172" t="str">
        <f>_xlfn.IFNA(INDEX(RETAIL__29[Nhóm KH], MATCH(DS_Khach_hang[[#This Row],[TÀI KHOẢN LƯU KÝ]], RETAIL__29[Số TK lưu ký KH], 0)) &amp; "", "")</f>
        <v>Standard</v>
      </c>
      <c r="F172" t="str">
        <f>_xlfn.IFNA(INDEX(RETAIL__29[Loại TK], MATCH(DS_Khach_hang[[#This Row],[TÀI KHOẢN LƯU KÝ]], RETAIL__29[Số TK lưu ký KH], 0)) &amp; "", "")</f>
        <v>RETAIL</v>
      </c>
    </row>
    <row r="173" spans="1:6" hidden="1" x14ac:dyDescent="0.25">
      <c r="A173" t="s">
        <v>487</v>
      </c>
      <c r="B173" t="s">
        <v>710</v>
      </c>
      <c r="C173" t="s">
        <v>487</v>
      </c>
      <c r="D173" t="s">
        <v>1193</v>
      </c>
      <c r="E173" t="str">
        <f>_xlfn.IFNA(INDEX(RETAIL__29[Nhóm KH], MATCH(DS_Khach_hang[[#This Row],[TÀI KHOẢN LƯU KÝ]], RETAIL__29[Số TK lưu ký KH], 0)) &amp; "", "")</f>
        <v>Standard</v>
      </c>
      <c r="F173" t="str">
        <f>_xlfn.IFNA(INDEX(RETAIL__29[Loại TK], MATCH(DS_Khach_hang[[#This Row],[TÀI KHOẢN LƯU KÝ]], RETAIL__29[Số TK lưu ký KH], 0)) &amp; "", "")</f>
        <v>RETAIL</v>
      </c>
    </row>
    <row r="174" spans="1:6" hidden="1" x14ac:dyDescent="0.25">
      <c r="A174" t="s">
        <v>487</v>
      </c>
      <c r="B174" t="s">
        <v>722</v>
      </c>
      <c r="C174" t="s">
        <v>723</v>
      </c>
      <c r="D174" t="s">
        <v>1194</v>
      </c>
      <c r="E174" t="str">
        <f>_xlfn.IFNA(INDEX(RETAIL__29[Nhóm KH], MATCH(DS_Khach_hang[[#This Row],[TÀI KHOẢN LƯU KÝ]], RETAIL__29[Số TK lưu ký KH], 0)) &amp; "", "")</f>
        <v>Standard</v>
      </c>
      <c r="F174" t="str">
        <f>_xlfn.IFNA(INDEX(RETAIL__29[Loại TK], MATCH(DS_Khach_hang[[#This Row],[TÀI KHOẢN LƯU KÝ]], RETAIL__29[Số TK lưu ký KH], 0)) &amp; "", "")</f>
        <v>RETAIL</v>
      </c>
    </row>
    <row r="175" spans="1:6" hidden="1" x14ac:dyDescent="0.25">
      <c r="A175" t="s">
        <v>487</v>
      </c>
      <c r="B175" t="s">
        <v>722</v>
      </c>
      <c r="C175" t="s">
        <v>723</v>
      </c>
      <c r="D175" t="s">
        <v>1195</v>
      </c>
      <c r="E175" t="str">
        <f>_xlfn.IFNA(INDEX(RETAIL__29[Nhóm KH], MATCH(DS_Khach_hang[[#This Row],[TÀI KHOẢN LƯU KÝ]], RETAIL__29[Số TK lưu ký KH], 0)) &amp; "", "")</f>
        <v>Standard</v>
      </c>
      <c r="F175" t="str">
        <f>_xlfn.IFNA(INDEX(RETAIL__29[Loại TK], MATCH(DS_Khach_hang[[#This Row],[TÀI KHOẢN LƯU KÝ]], RETAIL__29[Số TK lưu ký KH], 0)) &amp; "", "")</f>
        <v>RETAIL</v>
      </c>
    </row>
    <row r="176" spans="1:6" hidden="1" x14ac:dyDescent="0.25">
      <c r="A176" t="s">
        <v>487</v>
      </c>
      <c r="B176" t="s">
        <v>724</v>
      </c>
      <c r="C176" t="s">
        <v>725</v>
      </c>
      <c r="D176" t="s">
        <v>1196</v>
      </c>
      <c r="E176" t="str">
        <f>_xlfn.IFNA(INDEX(RETAIL__29[Nhóm KH], MATCH(DS_Khach_hang[[#This Row],[TÀI KHOẢN LƯU KÝ]], RETAIL__29[Số TK lưu ký KH], 0)) &amp; "", "")</f>
        <v>Standard</v>
      </c>
      <c r="F176" t="str">
        <f>_xlfn.IFNA(INDEX(RETAIL__29[Loại TK], MATCH(DS_Khach_hang[[#This Row],[TÀI KHOẢN LƯU KÝ]], RETAIL__29[Số TK lưu ký KH], 0)) &amp; "", "")</f>
        <v>RETAIL</v>
      </c>
    </row>
    <row r="177" spans="1:6" hidden="1" x14ac:dyDescent="0.25">
      <c r="A177" t="s">
        <v>487</v>
      </c>
      <c r="B177" t="s">
        <v>724</v>
      </c>
      <c r="C177" t="s">
        <v>725</v>
      </c>
      <c r="D177" t="s">
        <v>1197</v>
      </c>
      <c r="E177" t="str">
        <f>_xlfn.IFNA(INDEX(RETAIL__29[Nhóm KH], MATCH(DS_Khach_hang[[#This Row],[TÀI KHOẢN LƯU KÝ]], RETAIL__29[Số TK lưu ký KH], 0)) &amp; "", "")</f>
        <v>Standard</v>
      </c>
      <c r="F177" t="str">
        <f>_xlfn.IFNA(INDEX(RETAIL__29[Loại TK], MATCH(DS_Khach_hang[[#This Row],[TÀI KHOẢN LƯU KÝ]], RETAIL__29[Số TK lưu ký KH], 0)) &amp; "", "")</f>
        <v>RETAIL</v>
      </c>
    </row>
    <row r="178" spans="1:6" hidden="1" x14ac:dyDescent="0.25">
      <c r="A178" t="s">
        <v>487</v>
      </c>
      <c r="B178" t="s">
        <v>726</v>
      </c>
      <c r="C178" t="s">
        <v>727</v>
      </c>
      <c r="D178" t="s">
        <v>1198</v>
      </c>
      <c r="E178" t="str">
        <f>_xlfn.IFNA(INDEX(RETAIL__29[Nhóm KH], MATCH(DS_Khach_hang[[#This Row],[TÀI KHOẢN LƯU KÝ]], RETAIL__29[Số TK lưu ký KH], 0)) &amp; "", "")</f>
        <v>Standard</v>
      </c>
      <c r="F178" t="str">
        <f>_xlfn.IFNA(INDEX(RETAIL__29[Loại TK], MATCH(DS_Khach_hang[[#This Row],[TÀI KHOẢN LƯU KÝ]], RETAIL__29[Số TK lưu ký KH], 0)) &amp; "", "")</f>
        <v>RETAIL</v>
      </c>
    </row>
    <row r="179" spans="1:6" hidden="1" x14ac:dyDescent="0.25">
      <c r="A179" t="s">
        <v>487</v>
      </c>
      <c r="B179" t="s">
        <v>726</v>
      </c>
      <c r="C179" t="s">
        <v>727</v>
      </c>
      <c r="D179" t="s">
        <v>1199</v>
      </c>
      <c r="E179" t="str">
        <f>_xlfn.IFNA(INDEX(RETAIL__29[Nhóm KH], MATCH(DS_Khach_hang[[#This Row],[TÀI KHOẢN LƯU KÝ]], RETAIL__29[Số TK lưu ký KH], 0)) &amp; "", "")</f>
        <v>Standard</v>
      </c>
      <c r="F179" t="str">
        <f>_xlfn.IFNA(INDEX(RETAIL__29[Loại TK], MATCH(DS_Khach_hang[[#This Row],[TÀI KHOẢN LƯU KÝ]], RETAIL__29[Số TK lưu ký KH], 0)) &amp; "", "")</f>
        <v>RETAIL</v>
      </c>
    </row>
    <row r="180" spans="1:6" hidden="1" x14ac:dyDescent="0.25">
      <c r="A180" t="s">
        <v>487</v>
      </c>
      <c r="B180" t="s">
        <v>732</v>
      </c>
      <c r="C180" t="s">
        <v>733</v>
      </c>
      <c r="D180" t="s">
        <v>1200</v>
      </c>
      <c r="E180" t="str">
        <f>_xlfn.IFNA(INDEX(RETAIL__29[Nhóm KH], MATCH(DS_Khach_hang[[#This Row],[TÀI KHOẢN LƯU KÝ]], RETAIL__29[Số TK lưu ký KH], 0)) &amp; "", "")</f>
        <v>Standard</v>
      </c>
      <c r="F180" t="str">
        <f>_xlfn.IFNA(INDEX(RETAIL__29[Loại TK], MATCH(DS_Khach_hang[[#This Row],[TÀI KHOẢN LƯU KÝ]], RETAIL__29[Số TK lưu ký KH], 0)) &amp; "", "")</f>
        <v>RETAIL</v>
      </c>
    </row>
    <row r="181" spans="1:6" hidden="1" x14ac:dyDescent="0.25">
      <c r="A181" t="s">
        <v>487</v>
      </c>
      <c r="B181" t="s">
        <v>732</v>
      </c>
      <c r="C181" t="s">
        <v>733</v>
      </c>
      <c r="D181" t="s">
        <v>1201</v>
      </c>
      <c r="E181" t="str">
        <f>_xlfn.IFNA(INDEX(RETAIL__29[Nhóm KH], MATCH(DS_Khach_hang[[#This Row],[TÀI KHOẢN LƯU KÝ]], RETAIL__29[Số TK lưu ký KH], 0)) &amp; "", "")</f>
        <v>Standard</v>
      </c>
      <c r="F181" t="str">
        <f>_xlfn.IFNA(INDEX(RETAIL__29[Loại TK], MATCH(DS_Khach_hang[[#This Row],[TÀI KHOẢN LƯU KÝ]], RETAIL__29[Số TK lưu ký KH], 0)) &amp; "", "")</f>
        <v>RETAIL</v>
      </c>
    </row>
    <row r="182" spans="1:6" hidden="1" x14ac:dyDescent="0.25">
      <c r="A182" t="s">
        <v>487</v>
      </c>
      <c r="B182" t="s">
        <v>738</v>
      </c>
      <c r="C182" t="s">
        <v>739</v>
      </c>
      <c r="D182" t="s">
        <v>1202</v>
      </c>
      <c r="E182" t="str">
        <f>_xlfn.IFNA(INDEX(RETAIL__29[Nhóm KH], MATCH(DS_Khach_hang[[#This Row],[TÀI KHOẢN LƯU KÝ]], RETAIL__29[Số TK lưu ký KH], 0)) &amp; "", "")</f>
        <v>Standard</v>
      </c>
      <c r="F182" t="str">
        <f>_xlfn.IFNA(INDEX(RETAIL__29[Loại TK], MATCH(DS_Khach_hang[[#This Row],[TÀI KHOẢN LƯU KÝ]], RETAIL__29[Số TK lưu ký KH], 0)) &amp; "", "")</f>
        <v>RETAIL</v>
      </c>
    </row>
    <row r="183" spans="1:6" hidden="1" x14ac:dyDescent="0.25">
      <c r="A183" t="s">
        <v>487</v>
      </c>
      <c r="B183" t="s">
        <v>738</v>
      </c>
      <c r="C183" t="s">
        <v>739</v>
      </c>
      <c r="D183" t="s">
        <v>1203</v>
      </c>
      <c r="E183" t="str">
        <f>_xlfn.IFNA(INDEX(RETAIL__29[Nhóm KH], MATCH(DS_Khach_hang[[#This Row],[TÀI KHOẢN LƯU KÝ]], RETAIL__29[Số TK lưu ký KH], 0)) &amp; "", "")</f>
        <v>Standard</v>
      </c>
      <c r="F183" t="str">
        <f>_xlfn.IFNA(INDEX(RETAIL__29[Loại TK], MATCH(DS_Khach_hang[[#This Row],[TÀI KHOẢN LƯU KÝ]], RETAIL__29[Số TK lưu ký KH], 0)) &amp; "", "")</f>
        <v>RETAIL</v>
      </c>
    </row>
    <row r="184" spans="1:6" hidden="1" x14ac:dyDescent="0.25">
      <c r="A184" t="s">
        <v>487</v>
      </c>
      <c r="B184" t="s">
        <v>492</v>
      </c>
      <c r="C184" t="s">
        <v>493</v>
      </c>
      <c r="D184" t="s">
        <v>1204</v>
      </c>
      <c r="E184" t="s">
        <v>933</v>
      </c>
      <c r="F184" t="s">
        <v>923</v>
      </c>
    </row>
    <row r="185" spans="1:6" hidden="1" x14ac:dyDescent="0.25">
      <c r="A185" t="s">
        <v>487</v>
      </c>
      <c r="B185" t="s">
        <v>492</v>
      </c>
      <c r="C185" t="s">
        <v>493</v>
      </c>
      <c r="D185" t="s">
        <v>1205</v>
      </c>
      <c r="E185" t="s">
        <v>933</v>
      </c>
      <c r="F185" t="s">
        <v>923</v>
      </c>
    </row>
    <row r="186" spans="1:6" hidden="1" x14ac:dyDescent="0.25">
      <c r="A186" t="s">
        <v>487</v>
      </c>
      <c r="B186" t="s">
        <v>490</v>
      </c>
      <c r="C186" t="s">
        <v>491</v>
      </c>
      <c r="D186" t="s">
        <v>1206</v>
      </c>
      <c r="E186" t="s">
        <v>932</v>
      </c>
      <c r="F186" t="s">
        <v>923</v>
      </c>
    </row>
    <row r="187" spans="1:6" hidden="1" x14ac:dyDescent="0.25">
      <c r="A187" t="s">
        <v>487</v>
      </c>
      <c r="B187" t="s">
        <v>490</v>
      </c>
      <c r="C187" t="s">
        <v>491</v>
      </c>
      <c r="D187" t="s">
        <v>1207</v>
      </c>
      <c r="E187" t="s">
        <v>932</v>
      </c>
      <c r="F187" t="s">
        <v>923</v>
      </c>
    </row>
    <row r="188" spans="1:6" hidden="1" x14ac:dyDescent="0.25">
      <c r="A188" t="s">
        <v>487</v>
      </c>
      <c r="B188" t="s">
        <v>494</v>
      </c>
      <c r="C188" t="s">
        <v>495</v>
      </c>
      <c r="D188" t="s">
        <v>1208</v>
      </c>
      <c r="E188" t="s">
        <v>989</v>
      </c>
      <c r="F188" t="s">
        <v>988</v>
      </c>
    </row>
    <row r="189" spans="1:6" hidden="1" x14ac:dyDescent="0.25">
      <c r="A189" t="s">
        <v>487</v>
      </c>
      <c r="B189" t="s">
        <v>494</v>
      </c>
      <c r="C189" t="s">
        <v>495</v>
      </c>
      <c r="D189" t="s">
        <v>1209</v>
      </c>
      <c r="E189" t="s">
        <v>989</v>
      </c>
      <c r="F189" t="s">
        <v>988</v>
      </c>
    </row>
    <row r="190" spans="1:6" x14ac:dyDescent="0.25">
      <c r="A190" t="s">
        <v>487</v>
      </c>
      <c r="B190" t="s">
        <v>488</v>
      </c>
      <c r="C190" t="s">
        <v>489</v>
      </c>
      <c r="D190" t="s">
        <v>1210</v>
      </c>
      <c r="E190" t="s">
        <v>1020</v>
      </c>
      <c r="F190" t="s">
        <v>1020</v>
      </c>
    </row>
    <row r="191" spans="1:6" x14ac:dyDescent="0.25">
      <c r="A191" t="s">
        <v>487</v>
      </c>
      <c r="B191" t="s">
        <v>488</v>
      </c>
      <c r="C191" t="s">
        <v>489</v>
      </c>
      <c r="D191" t="s">
        <v>1211</v>
      </c>
      <c r="E191" t="s">
        <v>1020</v>
      </c>
      <c r="F191" t="s">
        <v>1020</v>
      </c>
    </row>
    <row r="192" spans="1:6" hidden="1" x14ac:dyDescent="0.25">
      <c r="A192" t="s">
        <v>487</v>
      </c>
      <c r="B192" t="s">
        <v>852</v>
      </c>
      <c r="C192" t="s">
        <v>853</v>
      </c>
      <c r="D192" t="s">
        <v>1212</v>
      </c>
      <c r="E192" t="str">
        <f>_xlfn.IFNA(INDEX(RETAIL__29[Nhóm KH], MATCH(DS_Khach_hang[[#This Row],[TÀI KHOẢN LƯU KÝ]], RETAIL__29[Số TK lưu ký KH], 0)) &amp; "", "")</f>
        <v>Standard</v>
      </c>
      <c r="F192" t="str">
        <f>_xlfn.IFNA(INDEX(RETAIL__29[Loại TK], MATCH(DS_Khach_hang[[#This Row],[TÀI KHOẢN LƯU KÝ]], RETAIL__29[Số TK lưu ký KH], 0)) &amp; "", "")</f>
        <v>RETAIL</v>
      </c>
    </row>
    <row r="193" spans="1:6" hidden="1" x14ac:dyDescent="0.25">
      <c r="A193" t="s">
        <v>487</v>
      </c>
      <c r="B193" t="s">
        <v>852</v>
      </c>
      <c r="C193" t="s">
        <v>853</v>
      </c>
      <c r="D193" t="s">
        <v>1213</v>
      </c>
      <c r="E193" t="str">
        <f>_xlfn.IFNA(INDEX(RETAIL__29[Nhóm KH], MATCH(DS_Khach_hang[[#This Row],[TÀI KHOẢN LƯU KÝ]], RETAIL__29[Số TK lưu ký KH], 0)) &amp; "", "")</f>
        <v>Standard</v>
      </c>
      <c r="F193" t="str">
        <f>_xlfn.IFNA(INDEX(RETAIL__29[Loại TK], MATCH(DS_Khach_hang[[#This Row],[TÀI KHOẢN LƯU KÝ]], RETAIL__29[Số TK lưu ký KH], 0)) &amp; "", "")</f>
        <v>RETAIL</v>
      </c>
    </row>
    <row r="194" spans="1:6" hidden="1" x14ac:dyDescent="0.25">
      <c r="A194" t="s">
        <v>487</v>
      </c>
      <c r="B194" t="s">
        <v>500</v>
      </c>
      <c r="C194" t="s">
        <v>501</v>
      </c>
      <c r="D194" t="s">
        <v>1214</v>
      </c>
      <c r="E194" t="s">
        <v>989</v>
      </c>
      <c r="F194" t="s">
        <v>988</v>
      </c>
    </row>
    <row r="195" spans="1:6" hidden="1" x14ac:dyDescent="0.25">
      <c r="A195" t="s">
        <v>487</v>
      </c>
      <c r="B195" t="s">
        <v>500</v>
      </c>
      <c r="C195" t="s">
        <v>501</v>
      </c>
      <c r="D195" t="s">
        <v>1215</v>
      </c>
      <c r="E195" t="s">
        <v>989</v>
      </c>
      <c r="F195" t="s">
        <v>988</v>
      </c>
    </row>
    <row r="196" spans="1:6" hidden="1" x14ac:dyDescent="0.25">
      <c r="A196" t="s">
        <v>487</v>
      </c>
      <c r="B196" t="s">
        <v>502</v>
      </c>
      <c r="C196" t="s">
        <v>503</v>
      </c>
      <c r="D196" t="s">
        <v>1216</v>
      </c>
      <c r="E196" t="s">
        <v>989</v>
      </c>
      <c r="F196" t="s">
        <v>988</v>
      </c>
    </row>
    <row r="197" spans="1:6" hidden="1" x14ac:dyDescent="0.25">
      <c r="A197" t="s">
        <v>487</v>
      </c>
      <c r="B197" t="s">
        <v>502</v>
      </c>
      <c r="C197" t="s">
        <v>503</v>
      </c>
      <c r="D197" t="s">
        <v>1217</v>
      </c>
      <c r="E197" t="s">
        <v>989</v>
      </c>
      <c r="F197" t="s">
        <v>988</v>
      </c>
    </row>
    <row r="198" spans="1:6" hidden="1" x14ac:dyDescent="0.25">
      <c r="A198" t="s">
        <v>487</v>
      </c>
      <c r="B198" t="s">
        <v>858</v>
      </c>
      <c r="C198" t="s">
        <v>859</v>
      </c>
      <c r="D198" t="s">
        <v>1218</v>
      </c>
      <c r="E198" t="str">
        <f>_xlfn.IFNA(INDEX(RETAIL__29[Nhóm KH], MATCH(DS_Khach_hang[[#This Row],[TÀI KHOẢN LƯU KÝ]], RETAIL__29[Số TK lưu ký KH], 0)) &amp; "", "")</f>
        <v>Standard</v>
      </c>
      <c r="F198" t="str">
        <f>_xlfn.IFNA(INDEX(RETAIL__29[Loại TK], MATCH(DS_Khach_hang[[#This Row],[TÀI KHOẢN LƯU KÝ]], RETAIL__29[Số TK lưu ký KH], 0)) &amp; "", "")</f>
        <v>RETAIL</v>
      </c>
    </row>
    <row r="199" spans="1:6" hidden="1" x14ac:dyDescent="0.25">
      <c r="A199" t="s">
        <v>487</v>
      </c>
      <c r="B199" t="s">
        <v>858</v>
      </c>
      <c r="C199" t="s">
        <v>859</v>
      </c>
      <c r="D199" t="s">
        <v>1219</v>
      </c>
      <c r="E199" t="str">
        <f>_xlfn.IFNA(INDEX(RETAIL__29[Nhóm KH], MATCH(DS_Khach_hang[[#This Row],[TÀI KHOẢN LƯU KÝ]], RETAIL__29[Số TK lưu ký KH], 0)) &amp; "", "")</f>
        <v>Standard</v>
      </c>
      <c r="F199" t="str">
        <f>_xlfn.IFNA(INDEX(RETAIL__29[Loại TK], MATCH(DS_Khach_hang[[#This Row],[TÀI KHOẢN LƯU KÝ]], RETAIL__29[Số TK lưu ký KH], 0)) &amp; "", "")</f>
        <v>RETAIL</v>
      </c>
    </row>
    <row r="200" spans="1:6" hidden="1" x14ac:dyDescent="0.25">
      <c r="A200" t="s">
        <v>487</v>
      </c>
      <c r="B200" t="s">
        <v>860</v>
      </c>
      <c r="C200" t="s">
        <v>531</v>
      </c>
      <c r="D200" t="s">
        <v>1220</v>
      </c>
      <c r="E200" t="str">
        <f>_xlfn.IFNA(INDEX(RETAIL__29[Nhóm KH], MATCH(DS_Khach_hang[[#This Row],[TÀI KHOẢN LƯU KÝ]], RETAIL__29[Số TK lưu ký KH], 0)) &amp; "", "")</f>
        <v>Standard</v>
      </c>
      <c r="F200" t="str">
        <f>_xlfn.IFNA(INDEX(RETAIL__29[Loại TK], MATCH(DS_Khach_hang[[#This Row],[TÀI KHOẢN LƯU KÝ]], RETAIL__29[Số TK lưu ký KH], 0)) &amp; "", "")</f>
        <v>RETAIL</v>
      </c>
    </row>
    <row r="201" spans="1:6" hidden="1" x14ac:dyDescent="0.25">
      <c r="A201" t="s">
        <v>487</v>
      </c>
      <c r="B201" t="s">
        <v>860</v>
      </c>
      <c r="C201" t="s">
        <v>531</v>
      </c>
      <c r="D201" t="s">
        <v>1221</v>
      </c>
      <c r="E201" t="str">
        <f>_xlfn.IFNA(INDEX(RETAIL__29[Nhóm KH], MATCH(DS_Khach_hang[[#This Row],[TÀI KHOẢN LƯU KÝ]], RETAIL__29[Số TK lưu ký KH], 0)) &amp; "", "")</f>
        <v>Standard</v>
      </c>
      <c r="F201" t="str">
        <f>_xlfn.IFNA(INDEX(RETAIL__29[Loại TK], MATCH(DS_Khach_hang[[#This Row],[TÀI KHOẢN LƯU KÝ]], RETAIL__29[Số TK lưu ký KH], 0)) &amp; "", "")</f>
        <v>RETAIL</v>
      </c>
    </row>
    <row r="202" spans="1:6" hidden="1" x14ac:dyDescent="0.25">
      <c r="A202" t="s">
        <v>487</v>
      </c>
      <c r="B202" t="s">
        <v>888</v>
      </c>
      <c r="C202" t="s">
        <v>889</v>
      </c>
      <c r="D202" t="s">
        <v>1222</v>
      </c>
      <c r="E202" t="str">
        <f>_xlfn.IFNA(INDEX(RETAIL__29[Nhóm KH], MATCH(DS_Khach_hang[[#This Row],[TÀI KHOẢN LƯU KÝ]], RETAIL__29[Số TK lưu ký KH], 0)) &amp; "", "")</f>
        <v>Standard</v>
      </c>
      <c r="F202" t="str">
        <f>_xlfn.IFNA(INDEX(RETAIL__29[Loại TK], MATCH(DS_Khach_hang[[#This Row],[TÀI KHOẢN LƯU KÝ]], RETAIL__29[Số TK lưu ký KH], 0)) &amp; "", "")</f>
        <v>RETAIL</v>
      </c>
    </row>
    <row r="203" spans="1:6" hidden="1" x14ac:dyDescent="0.25">
      <c r="A203" t="s">
        <v>487</v>
      </c>
      <c r="B203" t="s">
        <v>888</v>
      </c>
      <c r="C203" t="s">
        <v>889</v>
      </c>
      <c r="D203" t="s">
        <v>1223</v>
      </c>
      <c r="E203" t="str">
        <f>_xlfn.IFNA(INDEX(RETAIL__29[Nhóm KH], MATCH(DS_Khach_hang[[#This Row],[TÀI KHOẢN LƯU KÝ]], RETAIL__29[Số TK lưu ký KH], 0)) &amp; "", "")</f>
        <v>Standard</v>
      </c>
      <c r="F203" t="str">
        <f>_xlfn.IFNA(INDEX(RETAIL__29[Loại TK], MATCH(DS_Khach_hang[[#This Row],[TÀI KHOẢN LƯU KÝ]], RETAIL__29[Số TK lưu ký KH], 0)) &amp; "", "")</f>
        <v>RETAIL</v>
      </c>
    </row>
    <row r="204" spans="1:6" hidden="1" x14ac:dyDescent="0.25">
      <c r="A204" t="s">
        <v>487</v>
      </c>
      <c r="B204" t="s">
        <v>496</v>
      </c>
      <c r="C204" t="s">
        <v>497</v>
      </c>
      <c r="D204" t="s">
        <v>1224</v>
      </c>
      <c r="E204" t="s">
        <v>945</v>
      </c>
      <c r="F204" t="s">
        <v>923</v>
      </c>
    </row>
    <row r="205" spans="1:6" hidden="1" x14ac:dyDescent="0.25">
      <c r="A205" t="s">
        <v>487</v>
      </c>
      <c r="B205" t="s">
        <v>496</v>
      </c>
      <c r="C205" t="s">
        <v>497</v>
      </c>
      <c r="D205" t="s">
        <v>1225</v>
      </c>
      <c r="E205" t="s">
        <v>945</v>
      </c>
      <c r="F205" t="s">
        <v>923</v>
      </c>
    </row>
    <row r="206" spans="1:6" hidden="1" x14ac:dyDescent="0.25">
      <c r="A206" t="s">
        <v>487</v>
      </c>
      <c r="B206" t="s">
        <v>498</v>
      </c>
      <c r="C206" t="s">
        <v>499</v>
      </c>
      <c r="D206" t="s">
        <v>1226</v>
      </c>
      <c r="E206" t="s">
        <v>962</v>
      </c>
      <c r="F206" t="s">
        <v>923</v>
      </c>
    </row>
    <row r="207" spans="1:6" hidden="1" x14ac:dyDescent="0.25">
      <c r="A207" t="s">
        <v>487</v>
      </c>
      <c r="B207" t="s">
        <v>498</v>
      </c>
      <c r="C207" t="s">
        <v>499</v>
      </c>
      <c r="D207" t="s">
        <v>1227</v>
      </c>
      <c r="E207" t="s">
        <v>962</v>
      </c>
      <c r="F207" t="s">
        <v>923</v>
      </c>
    </row>
    <row r="208" spans="1:6" x14ac:dyDescent="0.25">
      <c r="A208" t="s">
        <v>374</v>
      </c>
      <c r="B208" t="s">
        <v>383</v>
      </c>
      <c r="C208" t="s">
        <v>384</v>
      </c>
      <c r="D208" t="s">
        <v>1228</v>
      </c>
      <c r="E208" t="s">
        <v>1020</v>
      </c>
      <c r="F208" t="s">
        <v>1020</v>
      </c>
    </row>
    <row r="209" spans="1:6" x14ac:dyDescent="0.25">
      <c r="A209" t="s">
        <v>374</v>
      </c>
      <c r="B209" t="s">
        <v>383</v>
      </c>
      <c r="C209" t="s">
        <v>384</v>
      </c>
      <c r="D209" t="s">
        <v>1229</v>
      </c>
      <c r="E209" t="s">
        <v>1020</v>
      </c>
      <c r="F209" t="s">
        <v>1020</v>
      </c>
    </row>
    <row r="210" spans="1:6" x14ac:dyDescent="0.25">
      <c r="A210" t="s">
        <v>374</v>
      </c>
      <c r="B210" t="s">
        <v>389</v>
      </c>
      <c r="C210" t="s">
        <v>390</v>
      </c>
      <c r="D210" t="s">
        <v>1230</v>
      </c>
      <c r="E210" t="s">
        <v>1020</v>
      </c>
      <c r="F210" t="s">
        <v>1020</v>
      </c>
    </row>
    <row r="211" spans="1:6" x14ac:dyDescent="0.25">
      <c r="A211" t="s">
        <v>374</v>
      </c>
      <c r="B211" t="s">
        <v>389</v>
      </c>
      <c r="C211" t="s">
        <v>390</v>
      </c>
      <c r="D211" t="s">
        <v>1231</v>
      </c>
      <c r="E211" t="s">
        <v>1020</v>
      </c>
      <c r="F211" t="s">
        <v>1020</v>
      </c>
    </row>
    <row r="212" spans="1:6" x14ac:dyDescent="0.25">
      <c r="A212" t="s">
        <v>374</v>
      </c>
      <c r="B212" t="s">
        <v>377</v>
      </c>
      <c r="C212" t="s">
        <v>378</v>
      </c>
      <c r="D212" t="s">
        <v>1232</v>
      </c>
      <c r="E212" t="s">
        <v>1020</v>
      </c>
      <c r="F212" t="s">
        <v>1020</v>
      </c>
    </row>
    <row r="213" spans="1:6" x14ac:dyDescent="0.25">
      <c r="A213" t="s">
        <v>374</v>
      </c>
      <c r="B213" t="s">
        <v>377</v>
      </c>
      <c r="C213" t="s">
        <v>378</v>
      </c>
      <c r="D213" t="s">
        <v>1233</v>
      </c>
      <c r="E213" t="s">
        <v>1020</v>
      </c>
      <c r="F213" t="s">
        <v>1020</v>
      </c>
    </row>
    <row r="214" spans="1:6" hidden="1" x14ac:dyDescent="0.25">
      <c r="A214" t="s">
        <v>374</v>
      </c>
      <c r="B214" t="s">
        <v>387</v>
      </c>
      <c r="C214" t="s">
        <v>388</v>
      </c>
      <c r="D214" t="s">
        <v>1234</v>
      </c>
      <c r="E214" t="s">
        <v>989</v>
      </c>
      <c r="F214" t="s">
        <v>988</v>
      </c>
    </row>
    <row r="215" spans="1:6" hidden="1" x14ac:dyDescent="0.25">
      <c r="A215" t="s">
        <v>374</v>
      </c>
      <c r="B215" t="s">
        <v>387</v>
      </c>
      <c r="C215" t="s">
        <v>388</v>
      </c>
      <c r="D215" t="s">
        <v>1235</v>
      </c>
      <c r="E215" t="s">
        <v>989</v>
      </c>
      <c r="F215" t="s">
        <v>988</v>
      </c>
    </row>
    <row r="216" spans="1:6" hidden="1" x14ac:dyDescent="0.25">
      <c r="A216" t="s">
        <v>374</v>
      </c>
      <c r="B216" t="s">
        <v>391</v>
      </c>
      <c r="C216" t="s">
        <v>392</v>
      </c>
      <c r="D216" t="s">
        <v>1236</v>
      </c>
      <c r="E216" t="s">
        <v>989</v>
      </c>
      <c r="F216" t="s">
        <v>988</v>
      </c>
    </row>
    <row r="217" spans="1:6" hidden="1" x14ac:dyDescent="0.25">
      <c r="A217" t="s">
        <v>374</v>
      </c>
      <c r="B217" t="s">
        <v>391</v>
      </c>
      <c r="C217" t="s">
        <v>392</v>
      </c>
      <c r="D217" t="s">
        <v>1237</v>
      </c>
      <c r="E217" t="s">
        <v>989</v>
      </c>
      <c r="F217" t="s">
        <v>988</v>
      </c>
    </row>
    <row r="218" spans="1:6" hidden="1" x14ac:dyDescent="0.25">
      <c r="A218" t="s">
        <v>374</v>
      </c>
      <c r="B218" t="s">
        <v>411</v>
      </c>
      <c r="C218" t="s">
        <v>412</v>
      </c>
      <c r="D218" t="s">
        <v>1238</v>
      </c>
      <c r="E218" t="s">
        <v>989</v>
      </c>
      <c r="F218" t="s">
        <v>988</v>
      </c>
    </row>
    <row r="219" spans="1:6" hidden="1" x14ac:dyDescent="0.25">
      <c r="A219" t="s">
        <v>374</v>
      </c>
      <c r="B219" t="s">
        <v>411</v>
      </c>
      <c r="C219" t="s">
        <v>412</v>
      </c>
      <c r="D219" t="s">
        <v>1239</v>
      </c>
      <c r="E219" t="s">
        <v>989</v>
      </c>
      <c r="F219" t="s">
        <v>988</v>
      </c>
    </row>
    <row r="220" spans="1:6" x14ac:dyDescent="0.25">
      <c r="A220" t="s">
        <v>374</v>
      </c>
      <c r="B220" t="s">
        <v>385</v>
      </c>
      <c r="C220" t="s">
        <v>386</v>
      </c>
      <c r="D220" t="s">
        <v>1240</v>
      </c>
      <c r="E220" t="s">
        <v>1020</v>
      </c>
      <c r="F220" t="s">
        <v>1020</v>
      </c>
    </row>
    <row r="221" spans="1:6" x14ac:dyDescent="0.25">
      <c r="A221" t="s">
        <v>374</v>
      </c>
      <c r="B221" t="s">
        <v>385</v>
      </c>
      <c r="C221" t="s">
        <v>386</v>
      </c>
      <c r="D221" t="s">
        <v>1241</v>
      </c>
      <c r="E221" t="s">
        <v>1020</v>
      </c>
      <c r="F221" t="s">
        <v>1020</v>
      </c>
    </row>
    <row r="222" spans="1:6" x14ac:dyDescent="0.25">
      <c r="A222" t="s">
        <v>374</v>
      </c>
      <c r="B222" t="s">
        <v>401</v>
      </c>
      <c r="C222" t="s">
        <v>402</v>
      </c>
      <c r="D222" t="s">
        <v>1242</v>
      </c>
      <c r="E222" t="s">
        <v>1020</v>
      </c>
      <c r="F222" t="s">
        <v>1020</v>
      </c>
    </row>
    <row r="223" spans="1:6" x14ac:dyDescent="0.25">
      <c r="A223" t="s">
        <v>374</v>
      </c>
      <c r="B223" t="s">
        <v>401</v>
      </c>
      <c r="C223" t="s">
        <v>402</v>
      </c>
      <c r="D223" t="s">
        <v>1243</v>
      </c>
      <c r="E223" t="s">
        <v>1020</v>
      </c>
      <c r="F223" t="s">
        <v>1020</v>
      </c>
    </row>
    <row r="224" spans="1:6" hidden="1" x14ac:dyDescent="0.25">
      <c r="A224" t="s">
        <v>374</v>
      </c>
      <c r="B224" t="s">
        <v>395</v>
      </c>
      <c r="C224" t="s">
        <v>396</v>
      </c>
      <c r="D224" t="s">
        <v>1244</v>
      </c>
      <c r="E224" t="s">
        <v>989</v>
      </c>
      <c r="F224" t="s">
        <v>988</v>
      </c>
    </row>
    <row r="225" spans="1:6" hidden="1" x14ac:dyDescent="0.25">
      <c r="A225" t="s">
        <v>374</v>
      </c>
      <c r="B225" t="s">
        <v>395</v>
      </c>
      <c r="C225" t="s">
        <v>396</v>
      </c>
      <c r="D225" t="s">
        <v>1245</v>
      </c>
      <c r="E225" t="s">
        <v>989</v>
      </c>
      <c r="F225" t="s">
        <v>988</v>
      </c>
    </row>
    <row r="226" spans="1:6" x14ac:dyDescent="0.25">
      <c r="A226" t="s">
        <v>374</v>
      </c>
      <c r="B226" t="s">
        <v>403</v>
      </c>
      <c r="C226" t="s">
        <v>404</v>
      </c>
      <c r="D226" t="s">
        <v>1246</v>
      </c>
      <c r="E226" t="s">
        <v>1020</v>
      </c>
      <c r="F226" t="s">
        <v>1020</v>
      </c>
    </row>
    <row r="227" spans="1:6" x14ac:dyDescent="0.25">
      <c r="A227" t="s">
        <v>374</v>
      </c>
      <c r="B227" t="s">
        <v>403</v>
      </c>
      <c r="C227" t="s">
        <v>404</v>
      </c>
      <c r="D227" t="s">
        <v>1247</v>
      </c>
      <c r="E227" t="s">
        <v>1020</v>
      </c>
      <c r="F227" t="s">
        <v>1020</v>
      </c>
    </row>
    <row r="228" spans="1:6" x14ac:dyDescent="0.25">
      <c r="A228" t="s">
        <v>374</v>
      </c>
      <c r="B228" t="s">
        <v>415</v>
      </c>
      <c r="C228" t="s">
        <v>416</v>
      </c>
      <c r="D228" t="s">
        <v>1248</v>
      </c>
      <c r="E228" t="s">
        <v>1020</v>
      </c>
      <c r="F228" t="s">
        <v>1020</v>
      </c>
    </row>
    <row r="229" spans="1:6" x14ac:dyDescent="0.25">
      <c r="A229" t="s">
        <v>374</v>
      </c>
      <c r="B229" t="s">
        <v>415</v>
      </c>
      <c r="C229" t="s">
        <v>416</v>
      </c>
      <c r="D229" t="s">
        <v>1249</v>
      </c>
      <c r="E229" t="s">
        <v>1020</v>
      </c>
      <c r="F229" t="s">
        <v>1020</v>
      </c>
    </row>
    <row r="230" spans="1:6" hidden="1" x14ac:dyDescent="0.25">
      <c r="A230" t="s">
        <v>374</v>
      </c>
      <c r="B230" t="s">
        <v>405</v>
      </c>
      <c r="C230" t="s">
        <v>406</v>
      </c>
      <c r="D230" t="s">
        <v>1250</v>
      </c>
      <c r="E230" t="s">
        <v>989</v>
      </c>
      <c r="F230" t="s">
        <v>988</v>
      </c>
    </row>
    <row r="231" spans="1:6" hidden="1" x14ac:dyDescent="0.25">
      <c r="A231" t="s">
        <v>374</v>
      </c>
      <c r="B231" t="s">
        <v>405</v>
      </c>
      <c r="C231" t="s">
        <v>406</v>
      </c>
      <c r="D231" t="s">
        <v>1251</v>
      </c>
      <c r="E231" t="s">
        <v>989</v>
      </c>
      <c r="F231" t="s">
        <v>988</v>
      </c>
    </row>
    <row r="232" spans="1:6" hidden="1" x14ac:dyDescent="0.25">
      <c r="A232" t="s">
        <v>374</v>
      </c>
      <c r="B232" t="s">
        <v>375</v>
      </c>
      <c r="C232" t="s">
        <v>376</v>
      </c>
      <c r="D232" t="s">
        <v>1252</v>
      </c>
      <c r="E232" t="s">
        <v>989</v>
      </c>
      <c r="F232" t="s">
        <v>988</v>
      </c>
    </row>
    <row r="233" spans="1:6" hidden="1" x14ac:dyDescent="0.25">
      <c r="A233" t="s">
        <v>374</v>
      </c>
      <c r="B233" t="s">
        <v>375</v>
      </c>
      <c r="C233" t="s">
        <v>376</v>
      </c>
      <c r="D233" t="s">
        <v>1253</v>
      </c>
      <c r="E233" t="s">
        <v>989</v>
      </c>
      <c r="F233" t="s">
        <v>988</v>
      </c>
    </row>
    <row r="234" spans="1:6" hidden="1" x14ac:dyDescent="0.25">
      <c r="A234" t="s">
        <v>374</v>
      </c>
      <c r="B234" t="s">
        <v>409</v>
      </c>
      <c r="C234" t="s">
        <v>410</v>
      </c>
      <c r="D234" t="s">
        <v>1254</v>
      </c>
      <c r="E234" t="s">
        <v>989</v>
      </c>
      <c r="F234" t="s">
        <v>988</v>
      </c>
    </row>
    <row r="235" spans="1:6" hidden="1" x14ac:dyDescent="0.25">
      <c r="A235" t="s">
        <v>374</v>
      </c>
      <c r="B235" t="s">
        <v>409</v>
      </c>
      <c r="C235" t="s">
        <v>410</v>
      </c>
      <c r="D235" t="s">
        <v>1255</v>
      </c>
      <c r="E235" t="s">
        <v>989</v>
      </c>
      <c r="F235" t="s">
        <v>988</v>
      </c>
    </row>
    <row r="236" spans="1:6" hidden="1" x14ac:dyDescent="0.25">
      <c r="A236" t="s">
        <v>374</v>
      </c>
      <c r="B236" t="s">
        <v>379</v>
      </c>
      <c r="C236" t="s">
        <v>380</v>
      </c>
      <c r="D236" t="s">
        <v>1256</v>
      </c>
      <c r="E236" t="s">
        <v>989</v>
      </c>
      <c r="F236" t="s">
        <v>988</v>
      </c>
    </row>
    <row r="237" spans="1:6" hidden="1" x14ac:dyDescent="0.25">
      <c r="A237" t="s">
        <v>374</v>
      </c>
      <c r="B237" t="s">
        <v>379</v>
      </c>
      <c r="C237" t="s">
        <v>380</v>
      </c>
      <c r="D237" t="s">
        <v>1257</v>
      </c>
      <c r="E237" t="s">
        <v>989</v>
      </c>
      <c r="F237" t="s">
        <v>988</v>
      </c>
    </row>
    <row r="238" spans="1:6" hidden="1" x14ac:dyDescent="0.25">
      <c r="A238" t="s">
        <v>374</v>
      </c>
      <c r="B238" t="s">
        <v>393</v>
      </c>
      <c r="C238" t="s">
        <v>394</v>
      </c>
      <c r="D238" t="s">
        <v>1258</v>
      </c>
      <c r="E238" t="s">
        <v>989</v>
      </c>
      <c r="F238" t="s">
        <v>988</v>
      </c>
    </row>
    <row r="239" spans="1:6" hidden="1" x14ac:dyDescent="0.25">
      <c r="A239" t="s">
        <v>374</v>
      </c>
      <c r="B239" t="s">
        <v>393</v>
      </c>
      <c r="C239" t="s">
        <v>394</v>
      </c>
      <c r="D239" t="s">
        <v>1259</v>
      </c>
      <c r="E239" t="s">
        <v>989</v>
      </c>
      <c r="F239" t="s">
        <v>988</v>
      </c>
    </row>
    <row r="240" spans="1:6" x14ac:dyDescent="0.25">
      <c r="A240" t="s">
        <v>374</v>
      </c>
      <c r="B240" t="s">
        <v>381</v>
      </c>
      <c r="C240" t="s">
        <v>382</v>
      </c>
      <c r="D240" t="s">
        <v>1260</v>
      </c>
      <c r="E240" t="s">
        <v>1020</v>
      </c>
      <c r="F240" t="s">
        <v>1020</v>
      </c>
    </row>
    <row r="241" spans="1:6" x14ac:dyDescent="0.25">
      <c r="A241" t="s">
        <v>374</v>
      </c>
      <c r="B241" t="s">
        <v>381</v>
      </c>
      <c r="C241" t="s">
        <v>382</v>
      </c>
      <c r="D241" t="s">
        <v>1261</v>
      </c>
      <c r="E241" t="s">
        <v>1020</v>
      </c>
      <c r="F241" t="s">
        <v>1020</v>
      </c>
    </row>
    <row r="242" spans="1:6" hidden="1" x14ac:dyDescent="0.25">
      <c r="A242" t="s">
        <v>374</v>
      </c>
      <c r="B242" t="s">
        <v>397</v>
      </c>
      <c r="C242" t="s">
        <v>398</v>
      </c>
      <c r="D242" t="s">
        <v>1262</v>
      </c>
      <c r="E242" t="s">
        <v>989</v>
      </c>
      <c r="F242" t="s">
        <v>988</v>
      </c>
    </row>
    <row r="243" spans="1:6" hidden="1" x14ac:dyDescent="0.25">
      <c r="A243" t="s">
        <v>374</v>
      </c>
      <c r="B243" t="s">
        <v>397</v>
      </c>
      <c r="C243" t="s">
        <v>398</v>
      </c>
      <c r="D243" t="s">
        <v>1263</v>
      </c>
      <c r="E243" t="s">
        <v>989</v>
      </c>
      <c r="F243" t="s">
        <v>988</v>
      </c>
    </row>
    <row r="244" spans="1:6" hidden="1" x14ac:dyDescent="0.25">
      <c r="A244" t="s">
        <v>374</v>
      </c>
      <c r="B244" t="s">
        <v>419</v>
      </c>
      <c r="C244" t="s">
        <v>420</v>
      </c>
      <c r="D244" t="s">
        <v>1264</v>
      </c>
      <c r="E244" t="s">
        <v>951</v>
      </c>
      <c r="F244" t="s">
        <v>923</v>
      </c>
    </row>
    <row r="245" spans="1:6" hidden="1" x14ac:dyDescent="0.25">
      <c r="A245" t="s">
        <v>374</v>
      </c>
      <c r="B245" t="s">
        <v>419</v>
      </c>
      <c r="C245" t="s">
        <v>420</v>
      </c>
      <c r="D245" t="s">
        <v>1265</v>
      </c>
      <c r="E245" t="s">
        <v>951</v>
      </c>
      <c r="F245" t="s">
        <v>923</v>
      </c>
    </row>
    <row r="246" spans="1:6" hidden="1" x14ac:dyDescent="0.25">
      <c r="A246" t="s">
        <v>374</v>
      </c>
      <c r="B246" t="s">
        <v>417</v>
      </c>
      <c r="C246" t="s">
        <v>418</v>
      </c>
      <c r="D246" t="s">
        <v>1266</v>
      </c>
      <c r="E246" t="s">
        <v>989</v>
      </c>
      <c r="F246" t="s">
        <v>988</v>
      </c>
    </row>
    <row r="247" spans="1:6" hidden="1" x14ac:dyDescent="0.25">
      <c r="A247" t="s">
        <v>374</v>
      </c>
      <c r="B247" t="s">
        <v>417</v>
      </c>
      <c r="C247" t="s">
        <v>418</v>
      </c>
      <c r="D247" t="s">
        <v>1267</v>
      </c>
      <c r="E247" t="s">
        <v>989</v>
      </c>
      <c r="F247" t="s">
        <v>988</v>
      </c>
    </row>
    <row r="248" spans="1:6" hidden="1" x14ac:dyDescent="0.25">
      <c r="A248" t="s">
        <v>374</v>
      </c>
      <c r="B248" t="s">
        <v>413</v>
      </c>
      <c r="C248" t="s">
        <v>414</v>
      </c>
      <c r="D248" t="s">
        <v>1268</v>
      </c>
      <c r="E248" t="s">
        <v>989</v>
      </c>
      <c r="F248" t="s">
        <v>988</v>
      </c>
    </row>
    <row r="249" spans="1:6" hidden="1" x14ac:dyDescent="0.25">
      <c r="A249" t="s">
        <v>374</v>
      </c>
      <c r="B249" t="s">
        <v>413</v>
      </c>
      <c r="C249" t="s">
        <v>414</v>
      </c>
      <c r="D249" t="s">
        <v>1269</v>
      </c>
      <c r="E249" t="s">
        <v>989</v>
      </c>
      <c r="F249" t="s">
        <v>988</v>
      </c>
    </row>
    <row r="250" spans="1:6" x14ac:dyDescent="0.25">
      <c r="A250" t="s">
        <v>374</v>
      </c>
      <c r="B250" t="s">
        <v>399</v>
      </c>
      <c r="C250" t="s">
        <v>400</v>
      </c>
      <c r="D250" t="s">
        <v>1270</v>
      </c>
      <c r="E250" t="s">
        <v>1020</v>
      </c>
      <c r="F250" t="s">
        <v>1020</v>
      </c>
    </row>
    <row r="251" spans="1:6" x14ac:dyDescent="0.25">
      <c r="A251" t="s">
        <v>374</v>
      </c>
      <c r="B251" t="s">
        <v>399</v>
      </c>
      <c r="C251" t="s">
        <v>400</v>
      </c>
      <c r="D251" t="s">
        <v>1271</v>
      </c>
      <c r="E251" t="s">
        <v>1020</v>
      </c>
      <c r="F251" t="s">
        <v>1020</v>
      </c>
    </row>
    <row r="252" spans="1:6" hidden="1" x14ac:dyDescent="0.25">
      <c r="A252" t="s">
        <v>374</v>
      </c>
      <c r="B252" t="s">
        <v>407</v>
      </c>
      <c r="C252" t="s">
        <v>408</v>
      </c>
      <c r="D252" t="s">
        <v>1272</v>
      </c>
      <c r="E252" t="s">
        <v>989</v>
      </c>
      <c r="F252" t="s">
        <v>988</v>
      </c>
    </row>
    <row r="253" spans="1:6" hidden="1" x14ac:dyDescent="0.25">
      <c r="A253" t="s">
        <v>374</v>
      </c>
      <c r="B253" t="s">
        <v>407</v>
      </c>
      <c r="C253" t="s">
        <v>408</v>
      </c>
      <c r="D253" t="s">
        <v>1273</v>
      </c>
      <c r="E253" t="s">
        <v>989</v>
      </c>
      <c r="F253" t="s">
        <v>988</v>
      </c>
    </row>
    <row r="254" spans="1:6" hidden="1" x14ac:dyDescent="0.25">
      <c r="A254" t="s">
        <v>384</v>
      </c>
      <c r="B254" t="s">
        <v>624</v>
      </c>
      <c r="C254" t="s">
        <v>625</v>
      </c>
      <c r="D254" t="s">
        <v>1274</v>
      </c>
      <c r="E254" t="str">
        <f>_xlfn.IFNA(INDEX(RETAIL__29[Nhóm KH], MATCH(DS_Khach_hang[[#This Row],[TÀI KHOẢN LƯU KÝ]], RETAIL__29[Số TK lưu ký KH], 0)) &amp; "", "")</f>
        <v>Standard</v>
      </c>
      <c r="F254" t="str">
        <f>_xlfn.IFNA(INDEX(RETAIL__29[Loại TK], MATCH(DS_Khach_hang[[#This Row],[TÀI KHOẢN LƯU KÝ]], RETAIL__29[Số TK lưu ký KH], 0)) &amp; "", "")</f>
        <v>RETAIL</v>
      </c>
    </row>
    <row r="255" spans="1:6" hidden="1" x14ac:dyDescent="0.25">
      <c r="A255" t="s">
        <v>384</v>
      </c>
      <c r="B255" t="s">
        <v>624</v>
      </c>
      <c r="C255" t="s">
        <v>625</v>
      </c>
      <c r="D255" t="s">
        <v>1275</v>
      </c>
      <c r="E255" t="str">
        <f>_xlfn.IFNA(INDEX(RETAIL__29[Nhóm KH], MATCH(DS_Khach_hang[[#This Row],[TÀI KHOẢN LƯU KÝ]], RETAIL__29[Số TK lưu ký KH], 0)) &amp; "", "")</f>
        <v>Standard</v>
      </c>
      <c r="F255" t="str">
        <f>_xlfn.IFNA(INDEX(RETAIL__29[Loại TK], MATCH(DS_Khach_hang[[#This Row],[TÀI KHOẢN LƯU KÝ]], RETAIL__29[Số TK lưu ký KH], 0)) &amp; "", "")</f>
        <v>RETAIL</v>
      </c>
    </row>
    <row r="256" spans="1:6" hidden="1" x14ac:dyDescent="0.25">
      <c r="A256" t="s">
        <v>81</v>
      </c>
      <c r="B256" t="s">
        <v>82</v>
      </c>
      <c r="C256" t="s">
        <v>81</v>
      </c>
      <c r="D256" t="s">
        <v>1276</v>
      </c>
      <c r="E256" t="s">
        <v>989</v>
      </c>
      <c r="F256" t="s">
        <v>988</v>
      </c>
    </row>
    <row r="257" spans="1:6" hidden="1" x14ac:dyDescent="0.25">
      <c r="A257" t="s">
        <v>81</v>
      </c>
      <c r="B257" t="s">
        <v>82</v>
      </c>
      <c r="C257" t="s">
        <v>81</v>
      </c>
      <c r="D257" t="s">
        <v>1277</v>
      </c>
      <c r="E257" t="s">
        <v>989</v>
      </c>
      <c r="F257" t="s">
        <v>988</v>
      </c>
    </row>
    <row r="258" spans="1:6" hidden="1" x14ac:dyDescent="0.25">
      <c r="A258" t="s">
        <v>540</v>
      </c>
      <c r="B258" t="s">
        <v>809</v>
      </c>
      <c r="C258" t="s">
        <v>810</v>
      </c>
      <c r="D258" t="s">
        <v>1278</v>
      </c>
      <c r="E258" t="str">
        <f>_xlfn.IFNA(INDEX(RETAIL__29[Nhóm KH], MATCH(DS_Khach_hang[[#This Row],[TÀI KHOẢN LƯU KÝ]], RETAIL__29[Số TK lưu ký KH], 0)) &amp; "", "")</f>
        <v>Standard</v>
      </c>
      <c r="F258" t="str">
        <f>_xlfn.IFNA(INDEX(RETAIL__29[Loại TK], MATCH(DS_Khach_hang[[#This Row],[TÀI KHOẢN LƯU KÝ]], RETAIL__29[Số TK lưu ký KH], 0)) &amp; "", "")</f>
        <v>RETAIL</v>
      </c>
    </row>
    <row r="259" spans="1:6" hidden="1" x14ac:dyDescent="0.25">
      <c r="A259" t="s">
        <v>540</v>
      </c>
      <c r="B259" t="s">
        <v>809</v>
      </c>
      <c r="C259" t="s">
        <v>810</v>
      </c>
      <c r="D259" t="s">
        <v>1279</v>
      </c>
      <c r="E259" t="str">
        <f>_xlfn.IFNA(INDEX(RETAIL__29[Nhóm KH], MATCH(DS_Khach_hang[[#This Row],[TÀI KHOẢN LƯU KÝ]], RETAIL__29[Số TK lưu ký KH], 0)) &amp; "", "")</f>
        <v>Standard</v>
      </c>
      <c r="F259" t="str">
        <f>_xlfn.IFNA(INDEX(RETAIL__29[Loại TK], MATCH(DS_Khach_hang[[#This Row],[TÀI KHOẢN LƯU KÝ]], RETAIL__29[Số TK lưu ký KH], 0)) &amp; "", "")</f>
        <v>RETAIL</v>
      </c>
    </row>
    <row r="260" spans="1:6" hidden="1" x14ac:dyDescent="0.25">
      <c r="A260" t="s">
        <v>540</v>
      </c>
      <c r="B260" t="s">
        <v>541</v>
      </c>
      <c r="C260" t="s">
        <v>542</v>
      </c>
      <c r="D260" t="s">
        <v>1280</v>
      </c>
      <c r="E260" t="s">
        <v>983</v>
      </c>
      <c r="F260" t="s">
        <v>923</v>
      </c>
    </row>
    <row r="261" spans="1:6" hidden="1" x14ac:dyDescent="0.25">
      <c r="A261" t="s">
        <v>540</v>
      </c>
      <c r="B261" t="s">
        <v>541</v>
      </c>
      <c r="C261" t="s">
        <v>542</v>
      </c>
      <c r="D261" t="s">
        <v>1281</v>
      </c>
      <c r="E261" t="s">
        <v>983</v>
      </c>
      <c r="F261" t="s">
        <v>923</v>
      </c>
    </row>
    <row r="262" spans="1:6" hidden="1" x14ac:dyDescent="0.25">
      <c r="A262" t="s">
        <v>540</v>
      </c>
      <c r="B262" t="s">
        <v>813</v>
      </c>
      <c r="C262" t="s">
        <v>814</v>
      </c>
      <c r="D262" t="s">
        <v>1282</v>
      </c>
      <c r="E262" t="str">
        <f>_xlfn.IFNA(INDEX(RETAIL__29[Nhóm KH], MATCH(DS_Khach_hang[[#This Row],[TÀI KHOẢN LƯU KÝ]], RETAIL__29[Số TK lưu ký KH], 0)) &amp; "", "")</f>
        <v>VPX0</v>
      </c>
      <c r="F262" t="str">
        <f>_xlfn.IFNA(INDEX(RETAIL__29[Loại TK], MATCH(DS_Khach_hang[[#This Row],[TÀI KHOẢN LƯU KÝ]], RETAIL__29[Số TK lưu ký KH], 0)) &amp; "", "")</f>
        <v>DEAL</v>
      </c>
    </row>
    <row r="263" spans="1:6" hidden="1" x14ac:dyDescent="0.25">
      <c r="A263" t="s">
        <v>540</v>
      </c>
      <c r="B263" t="s">
        <v>813</v>
      </c>
      <c r="C263" t="s">
        <v>814</v>
      </c>
      <c r="D263" t="s">
        <v>1283</v>
      </c>
      <c r="E263" t="str">
        <f>_xlfn.IFNA(INDEX(RETAIL__29[Nhóm KH], MATCH(DS_Khach_hang[[#This Row],[TÀI KHOẢN LƯU KÝ]], RETAIL__29[Số TK lưu ký KH], 0)) &amp; "", "")</f>
        <v>VPX0</v>
      </c>
      <c r="F263" t="str">
        <f>_xlfn.IFNA(INDEX(RETAIL__29[Loại TK], MATCH(DS_Khach_hang[[#This Row],[TÀI KHOẢN LƯU KÝ]], RETAIL__29[Số TK lưu ký KH], 0)) &amp; "", "")</f>
        <v>DEAL</v>
      </c>
    </row>
    <row r="264" spans="1:6" hidden="1" x14ac:dyDescent="0.25">
      <c r="A264" t="s">
        <v>540</v>
      </c>
      <c r="B264" t="s">
        <v>841</v>
      </c>
      <c r="C264" t="s">
        <v>842</v>
      </c>
      <c r="D264" t="s">
        <v>1284</v>
      </c>
      <c r="E264" t="str">
        <f>_xlfn.IFNA(INDEX(RETAIL__29[Nhóm KH], MATCH(DS_Khach_hang[[#This Row],[TÀI KHOẢN LƯU KÝ]], RETAIL__29[Số TK lưu ký KH], 0)) &amp; "", "")</f>
        <v>Standard</v>
      </c>
      <c r="F264" t="str">
        <f>_xlfn.IFNA(INDEX(RETAIL__29[Loại TK], MATCH(DS_Khach_hang[[#This Row],[TÀI KHOẢN LƯU KÝ]], RETAIL__29[Số TK lưu ký KH], 0)) &amp; "", "")</f>
        <v>RETAIL</v>
      </c>
    </row>
    <row r="265" spans="1:6" hidden="1" x14ac:dyDescent="0.25">
      <c r="A265" t="s">
        <v>540</v>
      </c>
      <c r="B265" t="s">
        <v>841</v>
      </c>
      <c r="C265" t="s">
        <v>842</v>
      </c>
      <c r="D265" t="s">
        <v>1285</v>
      </c>
      <c r="E265" t="str">
        <f>_xlfn.IFNA(INDEX(RETAIL__29[Nhóm KH], MATCH(DS_Khach_hang[[#This Row],[TÀI KHOẢN LƯU KÝ]], RETAIL__29[Số TK lưu ký KH], 0)) &amp; "", "")</f>
        <v>Standard</v>
      </c>
      <c r="F265" t="str">
        <f>_xlfn.IFNA(INDEX(RETAIL__29[Loại TK], MATCH(DS_Khach_hang[[#This Row],[TÀI KHOẢN LƯU KÝ]], RETAIL__29[Số TK lưu ký KH], 0)) &amp; "", "")</f>
        <v>RETAIL</v>
      </c>
    </row>
    <row r="266" spans="1:6" hidden="1" x14ac:dyDescent="0.25">
      <c r="A266" t="s">
        <v>540</v>
      </c>
      <c r="B266" t="s">
        <v>863</v>
      </c>
      <c r="C266" t="s">
        <v>864</v>
      </c>
      <c r="D266" t="s">
        <v>1286</v>
      </c>
      <c r="E266" t="str">
        <f>_xlfn.IFNA(INDEX(RETAIL__29[Nhóm KH], MATCH(DS_Khach_hang[[#This Row],[TÀI KHOẢN LƯU KÝ]], RETAIL__29[Số TK lưu ký KH], 0)) &amp; "", "")</f>
        <v>Standard</v>
      </c>
      <c r="F266" t="str">
        <f>_xlfn.IFNA(INDEX(RETAIL__29[Loại TK], MATCH(DS_Khach_hang[[#This Row],[TÀI KHOẢN LƯU KÝ]], RETAIL__29[Số TK lưu ký KH], 0)) &amp; "", "")</f>
        <v>RETAIL</v>
      </c>
    </row>
    <row r="267" spans="1:6" hidden="1" x14ac:dyDescent="0.25">
      <c r="A267" t="s">
        <v>540</v>
      </c>
      <c r="B267" t="s">
        <v>863</v>
      </c>
      <c r="C267" t="s">
        <v>864</v>
      </c>
      <c r="D267" t="s">
        <v>1287</v>
      </c>
      <c r="E267" t="str">
        <f>_xlfn.IFNA(INDEX(RETAIL__29[Nhóm KH], MATCH(DS_Khach_hang[[#This Row],[TÀI KHOẢN LƯU KÝ]], RETAIL__29[Số TK lưu ký KH], 0)) &amp; "", "")</f>
        <v>Standard</v>
      </c>
      <c r="F267" t="str">
        <f>_xlfn.IFNA(INDEX(RETAIL__29[Loại TK], MATCH(DS_Khach_hang[[#This Row],[TÀI KHOẢN LƯU KÝ]], RETAIL__29[Số TK lưu ký KH], 0)) &amp; "", "")</f>
        <v>RETAIL</v>
      </c>
    </row>
    <row r="268" spans="1:6" hidden="1" x14ac:dyDescent="0.25">
      <c r="A268" t="s">
        <v>540</v>
      </c>
      <c r="B268" t="s">
        <v>900</v>
      </c>
      <c r="C268" t="s">
        <v>901</v>
      </c>
      <c r="D268" t="s">
        <v>1288</v>
      </c>
      <c r="E268" t="str">
        <f>_xlfn.IFNA(INDEX(RETAIL__29[Nhóm KH], MATCH(DS_Khach_hang[[#This Row],[TÀI KHOẢN LƯU KÝ]], RETAIL__29[Số TK lưu ký KH], 0)) &amp; "", "")</f>
        <v>Standard</v>
      </c>
      <c r="F268" t="str">
        <f>_xlfn.IFNA(INDEX(RETAIL__29[Loại TK], MATCH(DS_Khach_hang[[#This Row],[TÀI KHOẢN LƯU KÝ]], RETAIL__29[Số TK lưu ký KH], 0)) &amp; "", "")</f>
        <v>RETAIL</v>
      </c>
    </row>
    <row r="269" spans="1:6" hidden="1" x14ac:dyDescent="0.25">
      <c r="A269" t="s">
        <v>540</v>
      </c>
      <c r="B269" t="s">
        <v>900</v>
      </c>
      <c r="C269" t="s">
        <v>901</v>
      </c>
      <c r="D269" t="s">
        <v>1289</v>
      </c>
      <c r="E269" t="str">
        <f>_xlfn.IFNA(INDEX(RETAIL__29[Nhóm KH], MATCH(DS_Khach_hang[[#This Row],[TÀI KHOẢN LƯU KÝ]], RETAIL__29[Số TK lưu ký KH], 0)) &amp; "", "")</f>
        <v>Standard</v>
      </c>
      <c r="F269" t="str">
        <f>_xlfn.IFNA(INDEX(RETAIL__29[Loại TK], MATCH(DS_Khach_hang[[#This Row],[TÀI KHOẢN LƯU KÝ]], RETAIL__29[Số TK lưu ký KH], 0)) &amp; "", "")</f>
        <v>RETAIL</v>
      </c>
    </row>
    <row r="270" spans="1:6" hidden="1" x14ac:dyDescent="0.25">
      <c r="A270" t="s">
        <v>804</v>
      </c>
      <c r="B270" t="s">
        <v>802</v>
      </c>
      <c r="C270" t="s">
        <v>803</v>
      </c>
      <c r="D270" t="s">
        <v>1290</v>
      </c>
      <c r="E270" t="str">
        <f>_xlfn.IFNA(INDEX(RETAIL__29[Nhóm KH], MATCH(DS_Khach_hang[[#This Row],[TÀI KHOẢN LƯU KÝ]], RETAIL__29[Số TK lưu ký KH], 0)) &amp; "", "")</f>
        <v>Standard</v>
      </c>
      <c r="F270" t="str">
        <f>_xlfn.IFNA(INDEX(RETAIL__29[Loại TK], MATCH(DS_Khach_hang[[#This Row],[TÀI KHOẢN LƯU KÝ]], RETAIL__29[Số TK lưu ký KH], 0)) &amp; "", "")</f>
        <v>RETAIL</v>
      </c>
    </row>
    <row r="271" spans="1:6" hidden="1" x14ac:dyDescent="0.25">
      <c r="A271" t="s">
        <v>804</v>
      </c>
      <c r="B271" t="s">
        <v>802</v>
      </c>
      <c r="C271" t="s">
        <v>803</v>
      </c>
      <c r="D271" t="s">
        <v>1291</v>
      </c>
      <c r="E271" t="str">
        <f>_xlfn.IFNA(INDEX(RETAIL__29[Nhóm KH], MATCH(DS_Khach_hang[[#This Row],[TÀI KHOẢN LƯU KÝ]], RETAIL__29[Số TK lưu ký KH], 0)) &amp; "", "")</f>
        <v>Standard</v>
      </c>
      <c r="F271" t="str">
        <f>_xlfn.IFNA(INDEX(RETAIL__29[Loại TK], MATCH(DS_Khach_hang[[#This Row],[TÀI KHOẢN LƯU KÝ]], RETAIL__29[Số TK lưu ký KH], 0)) &amp; "", "")</f>
        <v>RETAIL</v>
      </c>
    </row>
    <row r="272" spans="1:6" hidden="1" x14ac:dyDescent="0.25">
      <c r="A272" t="s">
        <v>804</v>
      </c>
      <c r="B272" t="s">
        <v>807</v>
      </c>
      <c r="C272" t="s">
        <v>808</v>
      </c>
      <c r="D272" t="s">
        <v>1292</v>
      </c>
      <c r="E272" t="str">
        <f>_xlfn.IFNA(INDEX(RETAIL__29[Nhóm KH], MATCH(DS_Khach_hang[[#This Row],[TÀI KHOẢN LƯU KÝ]], RETAIL__29[Số TK lưu ký KH], 0)) &amp; "", "")</f>
        <v>Standard</v>
      </c>
      <c r="F272" t="str">
        <f>_xlfn.IFNA(INDEX(RETAIL__29[Loại TK], MATCH(DS_Khach_hang[[#This Row],[TÀI KHOẢN LƯU KÝ]], RETAIL__29[Số TK lưu ký KH], 0)) &amp; "", "")</f>
        <v>RETAIL</v>
      </c>
    </row>
    <row r="273" spans="1:6" hidden="1" x14ac:dyDescent="0.25">
      <c r="A273" t="s">
        <v>804</v>
      </c>
      <c r="B273" t="s">
        <v>807</v>
      </c>
      <c r="C273" t="s">
        <v>808</v>
      </c>
      <c r="D273" t="s">
        <v>1293</v>
      </c>
      <c r="E273" t="str">
        <f>_xlfn.IFNA(INDEX(RETAIL__29[Nhóm KH], MATCH(DS_Khach_hang[[#This Row],[TÀI KHOẢN LƯU KÝ]], RETAIL__29[Số TK lưu ký KH], 0)) &amp; "", "")</f>
        <v>Standard</v>
      </c>
      <c r="F273" t="str">
        <f>_xlfn.IFNA(INDEX(RETAIL__29[Loại TK], MATCH(DS_Khach_hang[[#This Row],[TÀI KHOẢN LƯU KÝ]], RETAIL__29[Số TK lưu ký KH], 0)) &amp; "", "")</f>
        <v>RETAIL</v>
      </c>
    </row>
    <row r="274" spans="1:6" x14ac:dyDescent="0.25">
      <c r="A274" t="s">
        <v>224</v>
      </c>
      <c r="B274" t="s">
        <v>243</v>
      </c>
      <c r="C274" t="s">
        <v>244</v>
      </c>
      <c r="D274" t="s">
        <v>1294</v>
      </c>
      <c r="E274" t="s">
        <v>1020</v>
      </c>
      <c r="F274" t="s">
        <v>1020</v>
      </c>
    </row>
    <row r="275" spans="1:6" x14ac:dyDescent="0.25">
      <c r="A275" t="s">
        <v>224</v>
      </c>
      <c r="B275" t="s">
        <v>243</v>
      </c>
      <c r="C275" t="s">
        <v>244</v>
      </c>
      <c r="D275" t="s">
        <v>1295</v>
      </c>
      <c r="E275" t="s">
        <v>1020</v>
      </c>
      <c r="F275" t="s">
        <v>1020</v>
      </c>
    </row>
    <row r="276" spans="1:6" hidden="1" x14ac:dyDescent="0.25">
      <c r="A276" t="s">
        <v>224</v>
      </c>
      <c r="B276" t="s">
        <v>253</v>
      </c>
      <c r="C276" t="s">
        <v>254</v>
      </c>
      <c r="D276" t="s">
        <v>1296</v>
      </c>
      <c r="E276" t="s">
        <v>989</v>
      </c>
      <c r="F276" t="s">
        <v>988</v>
      </c>
    </row>
    <row r="277" spans="1:6" hidden="1" x14ac:dyDescent="0.25">
      <c r="A277" t="s">
        <v>224</v>
      </c>
      <c r="B277" t="s">
        <v>253</v>
      </c>
      <c r="C277" t="s">
        <v>254</v>
      </c>
      <c r="D277" t="s">
        <v>1297</v>
      </c>
      <c r="E277" t="s">
        <v>989</v>
      </c>
      <c r="F277" t="s">
        <v>988</v>
      </c>
    </row>
    <row r="278" spans="1:6" x14ac:dyDescent="0.25">
      <c r="A278" t="s">
        <v>224</v>
      </c>
      <c r="B278" t="s">
        <v>303</v>
      </c>
      <c r="C278" t="s">
        <v>304</v>
      </c>
      <c r="D278" t="s">
        <v>1298</v>
      </c>
      <c r="E278" t="s">
        <v>1020</v>
      </c>
      <c r="F278" t="s">
        <v>1020</v>
      </c>
    </row>
    <row r="279" spans="1:6" x14ac:dyDescent="0.25">
      <c r="A279" t="s">
        <v>224</v>
      </c>
      <c r="B279" t="s">
        <v>303</v>
      </c>
      <c r="C279" t="s">
        <v>304</v>
      </c>
      <c r="D279" t="s">
        <v>1299</v>
      </c>
      <c r="E279" t="s">
        <v>1020</v>
      </c>
      <c r="F279" t="s">
        <v>1020</v>
      </c>
    </row>
    <row r="280" spans="1:6" x14ac:dyDescent="0.25">
      <c r="A280" t="s">
        <v>224</v>
      </c>
      <c r="B280" t="s">
        <v>341</v>
      </c>
      <c r="C280" t="s">
        <v>342</v>
      </c>
      <c r="D280" t="s">
        <v>1300</v>
      </c>
      <c r="E280" t="s">
        <v>1020</v>
      </c>
      <c r="F280" t="s">
        <v>1020</v>
      </c>
    </row>
    <row r="281" spans="1:6" x14ac:dyDescent="0.25">
      <c r="A281" t="s">
        <v>224</v>
      </c>
      <c r="B281" t="s">
        <v>341</v>
      </c>
      <c r="C281" t="s">
        <v>342</v>
      </c>
      <c r="D281" t="s">
        <v>1301</v>
      </c>
      <c r="E281" t="s">
        <v>1020</v>
      </c>
      <c r="F281" t="s">
        <v>1020</v>
      </c>
    </row>
    <row r="282" spans="1:6" hidden="1" x14ac:dyDescent="0.25">
      <c r="A282" t="s">
        <v>224</v>
      </c>
      <c r="B282" t="s">
        <v>247</v>
      </c>
      <c r="C282" t="s">
        <v>248</v>
      </c>
      <c r="D282" t="s">
        <v>1302</v>
      </c>
      <c r="E282" t="s">
        <v>989</v>
      </c>
      <c r="F282" t="s">
        <v>988</v>
      </c>
    </row>
    <row r="283" spans="1:6" hidden="1" x14ac:dyDescent="0.25">
      <c r="A283" t="s">
        <v>224</v>
      </c>
      <c r="B283" t="s">
        <v>247</v>
      </c>
      <c r="C283" t="s">
        <v>248</v>
      </c>
      <c r="D283" t="s">
        <v>1303</v>
      </c>
      <c r="E283" t="s">
        <v>989</v>
      </c>
      <c r="F283" t="s">
        <v>988</v>
      </c>
    </row>
    <row r="284" spans="1:6" x14ac:dyDescent="0.25">
      <c r="A284" t="s">
        <v>224</v>
      </c>
      <c r="B284" t="s">
        <v>255</v>
      </c>
      <c r="C284" t="s">
        <v>256</v>
      </c>
      <c r="D284" t="s">
        <v>1304</v>
      </c>
      <c r="E284" t="s">
        <v>1020</v>
      </c>
      <c r="F284" t="s">
        <v>1020</v>
      </c>
    </row>
    <row r="285" spans="1:6" x14ac:dyDescent="0.25">
      <c r="A285" t="s">
        <v>224</v>
      </c>
      <c r="B285" t="s">
        <v>255</v>
      </c>
      <c r="C285" t="s">
        <v>256</v>
      </c>
      <c r="D285" t="s">
        <v>1305</v>
      </c>
      <c r="E285" t="s">
        <v>1020</v>
      </c>
      <c r="F285" t="s">
        <v>1020</v>
      </c>
    </row>
    <row r="286" spans="1:6" hidden="1" x14ac:dyDescent="0.25">
      <c r="A286" t="s">
        <v>224</v>
      </c>
      <c r="B286" t="s">
        <v>315</v>
      </c>
      <c r="C286" t="s">
        <v>316</v>
      </c>
      <c r="D286" t="s">
        <v>1306</v>
      </c>
      <c r="E286" t="s">
        <v>989</v>
      </c>
      <c r="F286" t="s">
        <v>988</v>
      </c>
    </row>
    <row r="287" spans="1:6" hidden="1" x14ac:dyDescent="0.25">
      <c r="A287" t="s">
        <v>224</v>
      </c>
      <c r="B287" t="s">
        <v>315</v>
      </c>
      <c r="C287" t="s">
        <v>316</v>
      </c>
      <c r="D287" t="s">
        <v>1307</v>
      </c>
      <c r="E287" t="s">
        <v>989</v>
      </c>
      <c r="F287" t="s">
        <v>988</v>
      </c>
    </row>
    <row r="288" spans="1:6" hidden="1" x14ac:dyDescent="0.25">
      <c r="A288" t="s">
        <v>224</v>
      </c>
      <c r="B288" t="s">
        <v>297</v>
      </c>
      <c r="C288" t="s">
        <v>298</v>
      </c>
      <c r="D288" t="s">
        <v>1308</v>
      </c>
      <c r="E288" t="s">
        <v>989</v>
      </c>
      <c r="F288" t="s">
        <v>988</v>
      </c>
    </row>
    <row r="289" spans="1:6" hidden="1" x14ac:dyDescent="0.25">
      <c r="A289" t="s">
        <v>224</v>
      </c>
      <c r="B289" t="s">
        <v>297</v>
      </c>
      <c r="C289" t="s">
        <v>298</v>
      </c>
      <c r="D289" t="s">
        <v>1309</v>
      </c>
      <c r="E289" t="s">
        <v>989</v>
      </c>
      <c r="F289" t="s">
        <v>988</v>
      </c>
    </row>
    <row r="290" spans="1:6" x14ac:dyDescent="0.25">
      <c r="A290" t="s">
        <v>224</v>
      </c>
      <c r="B290" t="s">
        <v>241</v>
      </c>
      <c r="C290" t="s">
        <v>242</v>
      </c>
      <c r="D290" t="s">
        <v>1310</v>
      </c>
      <c r="E290" t="s">
        <v>1020</v>
      </c>
      <c r="F290" t="s">
        <v>1020</v>
      </c>
    </row>
    <row r="291" spans="1:6" x14ac:dyDescent="0.25">
      <c r="A291" t="s">
        <v>224</v>
      </c>
      <c r="B291" t="s">
        <v>241</v>
      </c>
      <c r="C291" t="s">
        <v>242</v>
      </c>
      <c r="D291" t="s">
        <v>1311</v>
      </c>
      <c r="E291" t="s">
        <v>1020</v>
      </c>
      <c r="F291" t="s">
        <v>1020</v>
      </c>
    </row>
    <row r="292" spans="1:6" x14ac:dyDescent="0.25">
      <c r="A292" t="s">
        <v>224</v>
      </c>
      <c r="B292" t="s">
        <v>233</v>
      </c>
      <c r="C292" t="s">
        <v>234</v>
      </c>
      <c r="D292" t="s">
        <v>1312</v>
      </c>
      <c r="E292" t="s">
        <v>1020</v>
      </c>
      <c r="F292" t="s">
        <v>1020</v>
      </c>
    </row>
    <row r="293" spans="1:6" x14ac:dyDescent="0.25">
      <c r="A293" t="s">
        <v>224</v>
      </c>
      <c r="B293" t="s">
        <v>233</v>
      </c>
      <c r="C293" t="s">
        <v>234</v>
      </c>
      <c r="D293" t="s">
        <v>1313</v>
      </c>
      <c r="E293" t="s">
        <v>1020</v>
      </c>
      <c r="F293" t="s">
        <v>1020</v>
      </c>
    </row>
    <row r="294" spans="1:6" hidden="1" x14ac:dyDescent="0.25">
      <c r="A294" t="s">
        <v>224</v>
      </c>
      <c r="B294" t="s">
        <v>299</v>
      </c>
      <c r="C294" t="s">
        <v>300</v>
      </c>
      <c r="D294" t="s">
        <v>1314</v>
      </c>
      <c r="E294" t="s">
        <v>989</v>
      </c>
      <c r="F294" t="s">
        <v>988</v>
      </c>
    </row>
    <row r="295" spans="1:6" hidden="1" x14ac:dyDescent="0.25">
      <c r="A295" t="s">
        <v>224</v>
      </c>
      <c r="B295" t="s">
        <v>299</v>
      </c>
      <c r="C295" t="s">
        <v>300</v>
      </c>
      <c r="D295" t="s">
        <v>1315</v>
      </c>
      <c r="E295" t="s">
        <v>989</v>
      </c>
      <c r="F295" t="s">
        <v>988</v>
      </c>
    </row>
    <row r="296" spans="1:6" hidden="1" x14ac:dyDescent="0.25">
      <c r="A296" t="s">
        <v>224</v>
      </c>
      <c r="B296" t="s">
        <v>257</v>
      </c>
      <c r="C296" t="s">
        <v>258</v>
      </c>
      <c r="D296" t="s">
        <v>1316</v>
      </c>
      <c r="E296" t="s">
        <v>989</v>
      </c>
      <c r="F296" t="s">
        <v>988</v>
      </c>
    </row>
    <row r="297" spans="1:6" hidden="1" x14ac:dyDescent="0.25">
      <c r="A297" t="s">
        <v>224</v>
      </c>
      <c r="B297" t="s">
        <v>257</v>
      </c>
      <c r="C297" t="s">
        <v>258</v>
      </c>
      <c r="D297" t="s">
        <v>1317</v>
      </c>
      <c r="E297" t="s">
        <v>989</v>
      </c>
      <c r="F297" t="s">
        <v>988</v>
      </c>
    </row>
    <row r="298" spans="1:6" hidden="1" x14ac:dyDescent="0.25">
      <c r="A298" t="s">
        <v>224</v>
      </c>
      <c r="B298" t="s">
        <v>261</v>
      </c>
      <c r="C298" t="s">
        <v>262</v>
      </c>
      <c r="D298" t="s">
        <v>1318</v>
      </c>
      <c r="E298" t="s">
        <v>989</v>
      </c>
      <c r="F298" t="s">
        <v>988</v>
      </c>
    </row>
    <row r="299" spans="1:6" hidden="1" x14ac:dyDescent="0.25">
      <c r="A299" t="s">
        <v>224</v>
      </c>
      <c r="B299" t="s">
        <v>261</v>
      </c>
      <c r="C299" t="s">
        <v>262</v>
      </c>
      <c r="D299" t="s">
        <v>1319</v>
      </c>
      <c r="E299" t="s">
        <v>989</v>
      </c>
      <c r="F299" t="s">
        <v>988</v>
      </c>
    </row>
    <row r="300" spans="1:6" hidden="1" x14ac:dyDescent="0.25">
      <c r="A300" t="s">
        <v>224</v>
      </c>
      <c r="B300" t="s">
        <v>295</v>
      </c>
      <c r="C300" t="s">
        <v>296</v>
      </c>
      <c r="D300" t="s">
        <v>1320</v>
      </c>
      <c r="E300" t="s">
        <v>989</v>
      </c>
      <c r="F300" t="s">
        <v>988</v>
      </c>
    </row>
    <row r="301" spans="1:6" hidden="1" x14ac:dyDescent="0.25">
      <c r="A301" t="s">
        <v>224</v>
      </c>
      <c r="B301" t="s">
        <v>295</v>
      </c>
      <c r="C301" t="s">
        <v>296</v>
      </c>
      <c r="D301" t="s">
        <v>1321</v>
      </c>
      <c r="E301" t="s">
        <v>989</v>
      </c>
      <c r="F301" t="s">
        <v>988</v>
      </c>
    </row>
    <row r="302" spans="1:6" x14ac:dyDescent="0.25">
      <c r="A302" t="s">
        <v>224</v>
      </c>
      <c r="B302" t="s">
        <v>231</v>
      </c>
      <c r="C302" t="s">
        <v>232</v>
      </c>
      <c r="D302" t="s">
        <v>1322</v>
      </c>
      <c r="E302" t="s">
        <v>1020</v>
      </c>
      <c r="F302" t="s">
        <v>1020</v>
      </c>
    </row>
    <row r="303" spans="1:6" x14ac:dyDescent="0.25">
      <c r="A303" t="s">
        <v>224</v>
      </c>
      <c r="B303" t="s">
        <v>231</v>
      </c>
      <c r="C303" t="s">
        <v>232</v>
      </c>
      <c r="D303" t="s">
        <v>1323</v>
      </c>
      <c r="E303" t="s">
        <v>1020</v>
      </c>
      <c r="F303" t="s">
        <v>1020</v>
      </c>
    </row>
    <row r="304" spans="1:6" x14ac:dyDescent="0.25">
      <c r="A304" t="s">
        <v>224</v>
      </c>
      <c r="B304" t="s">
        <v>229</v>
      </c>
      <c r="C304" t="s">
        <v>230</v>
      </c>
      <c r="D304" t="s">
        <v>1324</v>
      </c>
      <c r="E304" t="s">
        <v>1020</v>
      </c>
      <c r="F304" t="s">
        <v>1020</v>
      </c>
    </row>
    <row r="305" spans="1:6" x14ac:dyDescent="0.25">
      <c r="A305" t="s">
        <v>224</v>
      </c>
      <c r="B305" t="s">
        <v>229</v>
      </c>
      <c r="C305" t="s">
        <v>230</v>
      </c>
      <c r="D305" t="s">
        <v>1325</v>
      </c>
      <c r="E305" t="s">
        <v>1020</v>
      </c>
      <c r="F305" t="s">
        <v>1020</v>
      </c>
    </row>
    <row r="306" spans="1:6" hidden="1" x14ac:dyDescent="0.25">
      <c r="A306" t="s">
        <v>224</v>
      </c>
      <c r="B306" t="s">
        <v>239</v>
      </c>
      <c r="C306" t="s">
        <v>240</v>
      </c>
      <c r="D306" t="s">
        <v>1326</v>
      </c>
      <c r="E306" t="s">
        <v>989</v>
      </c>
      <c r="F306" t="s">
        <v>988</v>
      </c>
    </row>
    <row r="307" spans="1:6" hidden="1" x14ac:dyDescent="0.25">
      <c r="A307" t="s">
        <v>224</v>
      </c>
      <c r="B307" t="s">
        <v>239</v>
      </c>
      <c r="C307" t="s">
        <v>240</v>
      </c>
      <c r="D307" t="s">
        <v>1327</v>
      </c>
      <c r="E307" t="s">
        <v>989</v>
      </c>
      <c r="F307" t="s">
        <v>988</v>
      </c>
    </row>
    <row r="308" spans="1:6" x14ac:dyDescent="0.25">
      <c r="A308" t="s">
        <v>224</v>
      </c>
      <c r="B308" t="s">
        <v>301</v>
      </c>
      <c r="C308" t="s">
        <v>302</v>
      </c>
      <c r="D308" t="s">
        <v>1328</v>
      </c>
      <c r="E308" t="s">
        <v>1020</v>
      </c>
      <c r="F308" t="s">
        <v>1020</v>
      </c>
    </row>
    <row r="309" spans="1:6" x14ac:dyDescent="0.25">
      <c r="A309" t="s">
        <v>224</v>
      </c>
      <c r="B309" t="s">
        <v>301</v>
      </c>
      <c r="C309" t="s">
        <v>302</v>
      </c>
      <c r="D309" t="s">
        <v>1329</v>
      </c>
      <c r="E309" t="s">
        <v>1020</v>
      </c>
      <c r="F309" t="s">
        <v>1020</v>
      </c>
    </row>
    <row r="310" spans="1:6" x14ac:dyDescent="0.25">
      <c r="A310" t="s">
        <v>224</v>
      </c>
      <c r="B310" t="s">
        <v>227</v>
      </c>
      <c r="C310" t="s">
        <v>228</v>
      </c>
      <c r="D310" t="s">
        <v>1330</v>
      </c>
      <c r="E310" t="s">
        <v>1020</v>
      </c>
      <c r="F310" t="s">
        <v>1020</v>
      </c>
    </row>
    <row r="311" spans="1:6" x14ac:dyDescent="0.25">
      <c r="A311" t="s">
        <v>224</v>
      </c>
      <c r="B311" t="s">
        <v>227</v>
      </c>
      <c r="C311" t="s">
        <v>228</v>
      </c>
      <c r="D311" t="s">
        <v>1331</v>
      </c>
      <c r="E311" t="s">
        <v>1020</v>
      </c>
      <c r="F311" t="s">
        <v>1020</v>
      </c>
    </row>
    <row r="312" spans="1:6" x14ac:dyDescent="0.25">
      <c r="A312" t="s">
        <v>224</v>
      </c>
      <c r="B312" t="s">
        <v>293</v>
      </c>
      <c r="C312" t="s">
        <v>294</v>
      </c>
      <c r="D312" t="s">
        <v>1332</v>
      </c>
      <c r="E312" t="s">
        <v>1020</v>
      </c>
      <c r="F312" t="s">
        <v>1020</v>
      </c>
    </row>
    <row r="313" spans="1:6" x14ac:dyDescent="0.25">
      <c r="A313" t="s">
        <v>224</v>
      </c>
      <c r="B313" t="s">
        <v>293</v>
      </c>
      <c r="C313" t="s">
        <v>294</v>
      </c>
      <c r="D313" t="s">
        <v>1333</v>
      </c>
      <c r="E313" t="s">
        <v>1020</v>
      </c>
      <c r="F313" t="s">
        <v>1020</v>
      </c>
    </row>
    <row r="314" spans="1:6" x14ac:dyDescent="0.25">
      <c r="A314" t="s">
        <v>224</v>
      </c>
      <c r="B314" t="s">
        <v>259</v>
      </c>
      <c r="C314" t="s">
        <v>260</v>
      </c>
      <c r="D314" t="s">
        <v>1334</v>
      </c>
      <c r="E314" t="s">
        <v>1020</v>
      </c>
      <c r="F314" t="s">
        <v>1020</v>
      </c>
    </row>
    <row r="315" spans="1:6" x14ac:dyDescent="0.25">
      <c r="A315" t="s">
        <v>224</v>
      </c>
      <c r="B315" t="s">
        <v>259</v>
      </c>
      <c r="C315" t="s">
        <v>260</v>
      </c>
      <c r="D315" t="s">
        <v>1335</v>
      </c>
      <c r="E315" t="s">
        <v>1020</v>
      </c>
      <c r="F315" t="s">
        <v>1020</v>
      </c>
    </row>
    <row r="316" spans="1:6" x14ac:dyDescent="0.25">
      <c r="A316" t="s">
        <v>224</v>
      </c>
      <c r="B316" t="s">
        <v>249</v>
      </c>
      <c r="C316" t="s">
        <v>250</v>
      </c>
      <c r="D316" t="s">
        <v>1336</v>
      </c>
      <c r="E316" t="s">
        <v>1020</v>
      </c>
      <c r="F316" t="s">
        <v>1020</v>
      </c>
    </row>
    <row r="317" spans="1:6" x14ac:dyDescent="0.25">
      <c r="A317" t="s">
        <v>224</v>
      </c>
      <c r="B317" t="s">
        <v>249</v>
      </c>
      <c r="C317" t="s">
        <v>250</v>
      </c>
      <c r="D317" t="s">
        <v>1337</v>
      </c>
      <c r="E317" t="s">
        <v>1020</v>
      </c>
      <c r="F317" t="s">
        <v>1020</v>
      </c>
    </row>
    <row r="318" spans="1:6" hidden="1" x14ac:dyDescent="0.25">
      <c r="A318" t="s">
        <v>224</v>
      </c>
      <c r="B318" t="s">
        <v>251</v>
      </c>
      <c r="C318" t="s">
        <v>252</v>
      </c>
      <c r="D318" t="s">
        <v>1338</v>
      </c>
      <c r="E318" t="s">
        <v>989</v>
      </c>
      <c r="F318" t="s">
        <v>988</v>
      </c>
    </row>
    <row r="319" spans="1:6" hidden="1" x14ac:dyDescent="0.25">
      <c r="A319" t="s">
        <v>224</v>
      </c>
      <c r="B319" t="s">
        <v>251</v>
      </c>
      <c r="C319" t="s">
        <v>252</v>
      </c>
      <c r="D319" t="s">
        <v>1339</v>
      </c>
      <c r="E319" t="s">
        <v>989</v>
      </c>
      <c r="F319" t="s">
        <v>988</v>
      </c>
    </row>
    <row r="320" spans="1:6" x14ac:dyDescent="0.25">
      <c r="A320" t="s">
        <v>224</v>
      </c>
      <c r="B320" t="s">
        <v>325</v>
      </c>
      <c r="C320" t="s">
        <v>326</v>
      </c>
      <c r="D320" t="s">
        <v>1340</v>
      </c>
      <c r="E320" t="s">
        <v>1020</v>
      </c>
      <c r="F320" t="s">
        <v>1020</v>
      </c>
    </row>
    <row r="321" spans="1:6" x14ac:dyDescent="0.25">
      <c r="A321" t="s">
        <v>224</v>
      </c>
      <c r="B321" t="s">
        <v>325</v>
      </c>
      <c r="C321" t="s">
        <v>326</v>
      </c>
      <c r="D321" t="s">
        <v>1341</v>
      </c>
      <c r="E321" t="s">
        <v>1020</v>
      </c>
      <c r="F321" t="s">
        <v>1020</v>
      </c>
    </row>
    <row r="322" spans="1:6" hidden="1" x14ac:dyDescent="0.25">
      <c r="A322" t="s">
        <v>224</v>
      </c>
      <c r="B322" t="s">
        <v>245</v>
      </c>
      <c r="C322" t="s">
        <v>246</v>
      </c>
      <c r="D322" t="s">
        <v>1342</v>
      </c>
      <c r="E322" t="s">
        <v>989</v>
      </c>
      <c r="F322" t="s">
        <v>988</v>
      </c>
    </row>
    <row r="323" spans="1:6" hidden="1" x14ac:dyDescent="0.25">
      <c r="A323" t="s">
        <v>224</v>
      </c>
      <c r="B323" t="s">
        <v>245</v>
      </c>
      <c r="C323" t="s">
        <v>246</v>
      </c>
      <c r="D323" t="s">
        <v>1343</v>
      </c>
      <c r="E323" t="s">
        <v>989</v>
      </c>
      <c r="F323" t="s">
        <v>988</v>
      </c>
    </row>
    <row r="324" spans="1:6" x14ac:dyDescent="0.25">
      <c r="A324" t="s">
        <v>224</v>
      </c>
      <c r="B324" t="s">
        <v>311</v>
      </c>
      <c r="C324" t="s">
        <v>312</v>
      </c>
      <c r="D324" t="s">
        <v>1344</v>
      </c>
      <c r="E324" t="s">
        <v>1020</v>
      </c>
      <c r="F324" t="s">
        <v>1020</v>
      </c>
    </row>
    <row r="325" spans="1:6" x14ac:dyDescent="0.25">
      <c r="A325" t="s">
        <v>224</v>
      </c>
      <c r="B325" t="s">
        <v>311</v>
      </c>
      <c r="C325" t="s">
        <v>312</v>
      </c>
      <c r="D325" t="s">
        <v>1345</v>
      </c>
      <c r="E325" t="s">
        <v>1020</v>
      </c>
      <c r="F325" t="s">
        <v>1020</v>
      </c>
    </row>
    <row r="326" spans="1:6" x14ac:dyDescent="0.25">
      <c r="A326" t="s">
        <v>224</v>
      </c>
      <c r="B326" t="s">
        <v>313</v>
      </c>
      <c r="C326" t="s">
        <v>314</v>
      </c>
      <c r="D326" t="s">
        <v>1346</v>
      </c>
      <c r="E326" t="s">
        <v>1020</v>
      </c>
      <c r="F326" t="s">
        <v>1020</v>
      </c>
    </row>
    <row r="327" spans="1:6" x14ac:dyDescent="0.25">
      <c r="A327" t="s">
        <v>224</v>
      </c>
      <c r="B327" t="s">
        <v>313</v>
      </c>
      <c r="C327" t="s">
        <v>314</v>
      </c>
      <c r="D327" t="s">
        <v>1347</v>
      </c>
      <c r="E327" t="s">
        <v>1020</v>
      </c>
      <c r="F327" t="s">
        <v>1020</v>
      </c>
    </row>
    <row r="328" spans="1:6" hidden="1" x14ac:dyDescent="0.25">
      <c r="A328" t="s">
        <v>224</v>
      </c>
      <c r="B328" t="s">
        <v>345</v>
      </c>
      <c r="C328" t="s">
        <v>346</v>
      </c>
      <c r="D328" t="s">
        <v>1348</v>
      </c>
      <c r="E328" t="s">
        <v>989</v>
      </c>
      <c r="F328" t="s">
        <v>988</v>
      </c>
    </row>
    <row r="329" spans="1:6" hidden="1" x14ac:dyDescent="0.25">
      <c r="A329" t="s">
        <v>224</v>
      </c>
      <c r="B329" t="s">
        <v>345</v>
      </c>
      <c r="C329" t="s">
        <v>346</v>
      </c>
      <c r="D329" t="s">
        <v>1349</v>
      </c>
      <c r="E329" t="s">
        <v>989</v>
      </c>
      <c r="F329" t="s">
        <v>988</v>
      </c>
    </row>
    <row r="330" spans="1:6" x14ac:dyDescent="0.25">
      <c r="A330" t="s">
        <v>224</v>
      </c>
      <c r="B330" t="s">
        <v>343</v>
      </c>
      <c r="C330" t="s">
        <v>344</v>
      </c>
      <c r="D330" t="s">
        <v>1350</v>
      </c>
      <c r="E330" t="s">
        <v>1020</v>
      </c>
      <c r="F330" t="s">
        <v>1020</v>
      </c>
    </row>
    <row r="331" spans="1:6" x14ac:dyDescent="0.25">
      <c r="A331" t="s">
        <v>224</v>
      </c>
      <c r="B331" t="s">
        <v>343</v>
      </c>
      <c r="C331" t="s">
        <v>344</v>
      </c>
      <c r="D331" t="s">
        <v>1351</v>
      </c>
      <c r="E331" t="s">
        <v>1020</v>
      </c>
      <c r="F331" t="s">
        <v>1020</v>
      </c>
    </row>
    <row r="332" spans="1:6" x14ac:dyDescent="0.25">
      <c r="A332" t="s">
        <v>224</v>
      </c>
      <c r="B332" t="s">
        <v>333</v>
      </c>
      <c r="C332" t="s">
        <v>334</v>
      </c>
      <c r="D332" t="s">
        <v>1352</v>
      </c>
      <c r="E332" t="s">
        <v>1020</v>
      </c>
      <c r="F332" t="s">
        <v>1020</v>
      </c>
    </row>
    <row r="333" spans="1:6" x14ac:dyDescent="0.25">
      <c r="A333" t="s">
        <v>224</v>
      </c>
      <c r="B333" t="s">
        <v>333</v>
      </c>
      <c r="C333" t="s">
        <v>334</v>
      </c>
      <c r="D333" t="s">
        <v>1353</v>
      </c>
      <c r="E333" t="s">
        <v>1020</v>
      </c>
      <c r="F333" t="s">
        <v>1020</v>
      </c>
    </row>
    <row r="334" spans="1:6" x14ac:dyDescent="0.25">
      <c r="A334" t="s">
        <v>224</v>
      </c>
      <c r="B334" t="s">
        <v>309</v>
      </c>
      <c r="C334" t="s">
        <v>310</v>
      </c>
      <c r="D334" t="s">
        <v>1354</v>
      </c>
      <c r="E334" t="s">
        <v>1020</v>
      </c>
      <c r="F334" t="s">
        <v>1020</v>
      </c>
    </row>
    <row r="335" spans="1:6" x14ac:dyDescent="0.25">
      <c r="A335" t="s">
        <v>224</v>
      </c>
      <c r="B335" t="s">
        <v>309</v>
      </c>
      <c r="C335" t="s">
        <v>310</v>
      </c>
      <c r="D335" t="s">
        <v>1355</v>
      </c>
      <c r="E335" t="s">
        <v>1020</v>
      </c>
      <c r="F335" t="s">
        <v>1020</v>
      </c>
    </row>
    <row r="336" spans="1:6" hidden="1" x14ac:dyDescent="0.25">
      <c r="A336" t="s">
        <v>224</v>
      </c>
      <c r="B336" t="s">
        <v>225</v>
      </c>
      <c r="C336" t="s">
        <v>226</v>
      </c>
      <c r="D336" t="s">
        <v>1356</v>
      </c>
      <c r="E336" t="s">
        <v>989</v>
      </c>
      <c r="F336" t="s">
        <v>988</v>
      </c>
    </row>
    <row r="337" spans="1:6" hidden="1" x14ac:dyDescent="0.25">
      <c r="A337" t="s">
        <v>224</v>
      </c>
      <c r="B337" t="s">
        <v>225</v>
      </c>
      <c r="C337" t="s">
        <v>226</v>
      </c>
      <c r="D337" t="s">
        <v>1357</v>
      </c>
      <c r="E337" t="s">
        <v>989</v>
      </c>
      <c r="F337" t="s">
        <v>988</v>
      </c>
    </row>
    <row r="338" spans="1:6" x14ac:dyDescent="0.25">
      <c r="A338" t="s">
        <v>224</v>
      </c>
      <c r="B338" t="s">
        <v>321</v>
      </c>
      <c r="C338" t="s">
        <v>322</v>
      </c>
      <c r="D338" t="s">
        <v>1358</v>
      </c>
      <c r="E338" t="s">
        <v>1020</v>
      </c>
      <c r="F338" t="s">
        <v>1020</v>
      </c>
    </row>
    <row r="339" spans="1:6" x14ac:dyDescent="0.25">
      <c r="A339" t="s">
        <v>224</v>
      </c>
      <c r="B339" t="s">
        <v>321</v>
      </c>
      <c r="C339" t="s">
        <v>322</v>
      </c>
      <c r="D339" t="s">
        <v>1359</v>
      </c>
      <c r="E339" t="s">
        <v>1020</v>
      </c>
      <c r="F339" t="s">
        <v>1020</v>
      </c>
    </row>
    <row r="340" spans="1:6" hidden="1" x14ac:dyDescent="0.25">
      <c r="A340" t="s">
        <v>224</v>
      </c>
      <c r="B340" t="s">
        <v>291</v>
      </c>
      <c r="C340" t="s">
        <v>292</v>
      </c>
      <c r="D340" t="s">
        <v>1360</v>
      </c>
      <c r="E340" t="s">
        <v>989</v>
      </c>
      <c r="F340" t="s">
        <v>988</v>
      </c>
    </row>
    <row r="341" spans="1:6" hidden="1" x14ac:dyDescent="0.25">
      <c r="A341" t="s">
        <v>224</v>
      </c>
      <c r="B341" t="s">
        <v>291</v>
      </c>
      <c r="C341" t="s">
        <v>292</v>
      </c>
      <c r="D341" t="s">
        <v>1361</v>
      </c>
      <c r="E341" t="s">
        <v>989</v>
      </c>
      <c r="F341" t="s">
        <v>988</v>
      </c>
    </row>
    <row r="342" spans="1:6" hidden="1" x14ac:dyDescent="0.25">
      <c r="A342" t="s">
        <v>224</v>
      </c>
      <c r="B342" t="s">
        <v>280</v>
      </c>
      <c r="C342" t="s">
        <v>281</v>
      </c>
      <c r="D342" t="s">
        <v>1362</v>
      </c>
      <c r="E342" t="s">
        <v>989</v>
      </c>
      <c r="F342" t="s">
        <v>988</v>
      </c>
    </row>
    <row r="343" spans="1:6" hidden="1" x14ac:dyDescent="0.25">
      <c r="A343" t="s">
        <v>224</v>
      </c>
      <c r="B343" t="s">
        <v>280</v>
      </c>
      <c r="C343" t="s">
        <v>281</v>
      </c>
      <c r="D343" t="s">
        <v>1363</v>
      </c>
      <c r="E343" t="s">
        <v>989</v>
      </c>
      <c r="F343" t="s">
        <v>988</v>
      </c>
    </row>
    <row r="344" spans="1:6" x14ac:dyDescent="0.25">
      <c r="A344" t="s">
        <v>224</v>
      </c>
      <c r="B344" t="s">
        <v>335</v>
      </c>
      <c r="C344" t="s">
        <v>336</v>
      </c>
      <c r="D344" t="s">
        <v>1364</v>
      </c>
      <c r="E344" t="s">
        <v>1020</v>
      </c>
      <c r="F344" t="s">
        <v>1020</v>
      </c>
    </row>
    <row r="345" spans="1:6" x14ac:dyDescent="0.25">
      <c r="A345" t="s">
        <v>224</v>
      </c>
      <c r="B345" t="s">
        <v>335</v>
      </c>
      <c r="C345" t="s">
        <v>336</v>
      </c>
      <c r="D345" t="s">
        <v>1365</v>
      </c>
      <c r="E345" t="s">
        <v>1020</v>
      </c>
      <c r="F345" t="s">
        <v>1020</v>
      </c>
    </row>
    <row r="346" spans="1:6" x14ac:dyDescent="0.25">
      <c r="A346" t="s">
        <v>224</v>
      </c>
      <c r="B346" t="s">
        <v>276</v>
      </c>
      <c r="C346" t="s">
        <v>277</v>
      </c>
      <c r="D346" t="s">
        <v>1366</v>
      </c>
      <c r="E346" t="s">
        <v>1020</v>
      </c>
      <c r="F346" t="s">
        <v>1020</v>
      </c>
    </row>
    <row r="347" spans="1:6" x14ac:dyDescent="0.25">
      <c r="A347" t="s">
        <v>224</v>
      </c>
      <c r="B347" t="s">
        <v>276</v>
      </c>
      <c r="C347" t="s">
        <v>277</v>
      </c>
      <c r="D347" t="s">
        <v>1367</v>
      </c>
      <c r="E347" t="s">
        <v>1020</v>
      </c>
      <c r="F347" t="s">
        <v>1020</v>
      </c>
    </row>
    <row r="348" spans="1:6" x14ac:dyDescent="0.25">
      <c r="A348" t="s">
        <v>224</v>
      </c>
      <c r="B348" t="s">
        <v>274</v>
      </c>
      <c r="C348" t="s">
        <v>275</v>
      </c>
      <c r="D348" t="s">
        <v>1368</v>
      </c>
      <c r="E348" t="s">
        <v>1020</v>
      </c>
      <c r="F348" t="s">
        <v>1020</v>
      </c>
    </row>
    <row r="349" spans="1:6" x14ac:dyDescent="0.25">
      <c r="A349" t="s">
        <v>224</v>
      </c>
      <c r="B349" t="s">
        <v>274</v>
      </c>
      <c r="C349" t="s">
        <v>275</v>
      </c>
      <c r="D349" t="s">
        <v>1369</v>
      </c>
      <c r="E349" t="s">
        <v>1020</v>
      </c>
      <c r="F349" t="s">
        <v>1020</v>
      </c>
    </row>
    <row r="350" spans="1:6" hidden="1" x14ac:dyDescent="0.25">
      <c r="A350" t="s">
        <v>224</v>
      </c>
      <c r="B350" t="s">
        <v>307</v>
      </c>
      <c r="C350" t="s">
        <v>308</v>
      </c>
      <c r="D350" t="s">
        <v>1370</v>
      </c>
      <c r="E350" t="s">
        <v>989</v>
      </c>
      <c r="F350" t="s">
        <v>988</v>
      </c>
    </row>
    <row r="351" spans="1:6" hidden="1" x14ac:dyDescent="0.25">
      <c r="A351" t="s">
        <v>224</v>
      </c>
      <c r="B351" t="s">
        <v>307</v>
      </c>
      <c r="C351" t="s">
        <v>308</v>
      </c>
      <c r="D351" t="s">
        <v>1371</v>
      </c>
      <c r="E351" t="s">
        <v>989</v>
      </c>
      <c r="F351" t="s">
        <v>988</v>
      </c>
    </row>
    <row r="352" spans="1:6" hidden="1" x14ac:dyDescent="0.25">
      <c r="A352" t="s">
        <v>224</v>
      </c>
      <c r="B352" t="s">
        <v>278</v>
      </c>
      <c r="C352" t="s">
        <v>279</v>
      </c>
      <c r="D352" t="s">
        <v>1372</v>
      </c>
      <c r="E352" t="s">
        <v>989</v>
      </c>
      <c r="F352" t="s">
        <v>988</v>
      </c>
    </row>
    <row r="353" spans="1:6" hidden="1" x14ac:dyDescent="0.25">
      <c r="A353" t="s">
        <v>224</v>
      </c>
      <c r="B353" t="s">
        <v>278</v>
      </c>
      <c r="C353" t="s">
        <v>279</v>
      </c>
      <c r="D353" t="s">
        <v>1373</v>
      </c>
      <c r="E353" t="s">
        <v>989</v>
      </c>
      <c r="F353" t="s">
        <v>988</v>
      </c>
    </row>
    <row r="354" spans="1:6" hidden="1" x14ac:dyDescent="0.25">
      <c r="A354" t="s">
        <v>224</v>
      </c>
      <c r="B354" t="s">
        <v>267</v>
      </c>
      <c r="C354" t="s">
        <v>268</v>
      </c>
      <c r="D354" t="s">
        <v>1374</v>
      </c>
      <c r="E354" t="s">
        <v>989</v>
      </c>
      <c r="F354" t="s">
        <v>988</v>
      </c>
    </row>
    <row r="355" spans="1:6" hidden="1" x14ac:dyDescent="0.25">
      <c r="A355" t="s">
        <v>224</v>
      </c>
      <c r="B355" t="s">
        <v>267</v>
      </c>
      <c r="C355" t="s">
        <v>268</v>
      </c>
      <c r="D355" t="s">
        <v>1375</v>
      </c>
      <c r="E355" t="s">
        <v>989</v>
      </c>
      <c r="F355" t="s">
        <v>988</v>
      </c>
    </row>
    <row r="356" spans="1:6" x14ac:dyDescent="0.25">
      <c r="A356" t="s">
        <v>224</v>
      </c>
      <c r="B356" t="s">
        <v>319</v>
      </c>
      <c r="C356" t="s">
        <v>320</v>
      </c>
      <c r="D356" t="s">
        <v>1376</v>
      </c>
      <c r="E356" t="s">
        <v>1020</v>
      </c>
      <c r="F356" t="s">
        <v>1020</v>
      </c>
    </row>
    <row r="357" spans="1:6" x14ac:dyDescent="0.25">
      <c r="A357" t="s">
        <v>224</v>
      </c>
      <c r="B357" t="s">
        <v>319</v>
      </c>
      <c r="C357" t="s">
        <v>320</v>
      </c>
      <c r="D357" t="s">
        <v>1377</v>
      </c>
      <c r="E357" t="s">
        <v>1020</v>
      </c>
      <c r="F357" t="s">
        <v>1020</v>
      </c>
    </row>
    <row r="358" spans="1:6" hidden="1" x14ac:dyDescent="0.25">
      <c r="A358" t="s">
        <v>224</v>
      </c>
      <c r="B358" t="s">
        <v>337</v>
      </c>
      <c r="C358" t="s">
        <v>338</v>
      </c>
      <c r="D358" t="s">
        <v>1378</v>
      </c>
      <c r="E358" t="s">
        <v>989</v>
      </c>
      <c r="F358" t="s">
        <v>988</v>
      </c>
    </row>
    <row r="359" spans="1:6" hidden="1" x14ac:dyDescent="0.25">
      <c r="A359" t="s">
        <v>224</v>
      </c>
      <c r="B359" t="s">
        <v>337</v>
      </c>
      <c r="C359" t="s">
        <v>338</v>
      </c>
      <c r="D359" t="s">
        <v>1379</v>
      </c>
      <c r="E359" t="s">
        <v>989</v>
      </c>
      <c r="F359" t="s">
        <v>988</v>
      </c>
    </row>
    <row r="360" spans="1:6" hidden="1" x14ac:dyDescent="0.25">
      <c r="A360" t="s">
        <v>224</v>
      </c>
      <c r="B360" t="s">
        <v>285</v>
      </c>
      <c r="C360" t="s">
        <v>286</v>
      </c>
      <c r="D360" t="s">
        <v>1380</v>
      </c>
      <c r="E360" t="s">
        <v>989</v>
      </c>
      <c r="F360" t="s">
        <v>988</v>
      </c>
    </row>
    <row r="361" spans="1:6" hidden="1" x14ac:dyDescent="0.25">
      <c r="A361" t="s">
        <v>224</v>
      </c>
      <c r="B361" t="s">
        <v>285</v>
      </c>
      <c r="C361" t="s">
        <v>286</v>
      </c>
      <c r="D361" t="s">
        <v>1381</v>
      </c>
      <c r="E361" t="s">
        <v>989</v>
      </c>
      <c r="F361" t="s">
        <v>988</v>
      </c>
    </row>
    <row r="362" spans="1:6" hidden="1" x14ac:dyDescent="0.25">
      <c r="A362" t="s">
        <v>224</v>
      </c>
      <c r="B362" t="s">
        <v>284</v>
      </c>
      <c r="C362" t="s">
        <v>183</v>
      </c>
      <c r="D362" t="s">
        <v>1382</v>
      </c>
      <c r="E362" t="s">
        <v>989</v>
      </c>
      <c r="F362" t="s">
        <v>988</v>
      </c>
    </row>
    <row r="363" spans="1:6" hidden="1" x14ac:dyDescent="0.25">
      <c r="A363" t="s">
        <v>224</v>
      </c>
      <c r="B363" t="s">
        <v>284</v>
      </c>
      <c r="C363" t="s">
        <v>183</v>
      </c>
      <c r="D363" t="s">
        <v>1383</v>
      </c>
      <c r="E363" t="s">
        <v>989</v>
      </c>
      <c r="F363" t="s">
        <v>988</v>
      </c>
    </row>
    <row r="364" spans="1:6" hidden="1" x14ac:dyDescent="0.25">
      <c r="A364" t="s">
        <v>224</v>
      </c>
      <c r="B364" t="s">
        <v>287</v>
      </c>
      <c r="C364" t="s">
        <v>288</v>
      </c>
      <c r="D364" t="s">
        <v>1384</v>
      </c>
      <c r="E364" t="s">
        <v>989</v>
      </c>
      <c r="F364" t="s">
        <v>988</v>
      </c>
    </row>
    <row r="365" spans="1:6" hidden="1" x14ac:dyDescent="0.25">
      <c r="A365" t="s">
        <v>224</v>
      </c>
      <c r="B365" t="s">
        <v>287</v>
      </c>
      <c r="C365" t="s">
        <v>288</v>
      </c>
      <c r="D365" t="s">
        <v>1385</v>
      </c>
      <c r="E365" t="s">
        <v>989</v>
      </c>
      <c r="F365" t="s">
        <v>988</v>
      </c>
    </row>
    <row r="366" spans="1:6" x14ac:dyDescent="0.25">
      <c r="A366" t="s">
        <v>224</v>
      </c>
      <c r="B366" t="s">
        <v>347</v>
      </c>
      <c r="C366" t="s">
        <v>348</v>
      </c>
      <c r="D366" t="s">
        <v>1386</v>
      </c>
      <c r="E366" t="s">
        <v>1020</v>
      </c>
      <c r="F366" t="s">
        <v>1020</v>
      </c>
    </row>
    <row r="367" spans="1:6" x14ac:dyDescent="0.25">
      <c r="A367" t="s">
        <v>224</v>
      </c>
      <c r="B367" t="s">
        <v>347</v>
      </c>
      <c r="C367" t="s">
        <v>348</v>
      </c>
      <c r="D367" t="s">
        <v>1387</v>
      </c>
      <c r="E367" t="s">
        <v>1020</v>
      </c>
      <c r="F367" t="s">
        <v>1020</v>
      </c>
    </row>
    <row r="368" spans="1:6" hidden="1" x14ac:dyDescent="0.25">
      <c r="A368" t="s">
        <v>224</v>
      </c>
      <c r="B368" t="s">
        <v>349</v>
      </c>
      <c r="C368" t="s">
        <v>330</v>
      </c>
      <c r="D368" t="s">
        <v>1388</v>
      </c>
      <c r="E368" t="s">
        <v>989</v>
      </c>
      <c r="F368" t="s">
        <v>988</v>
      </c>
    </row>
    <row r="369" spans="1:6" hidden="1" x14ac:dyDescent="0.25">
      <c r="A369" t="s">
        <v>224</v>
      </c>
      <c r="B369" t="s">
        <v>349</v>
      </c>
      <c r="C369" t="s">
        <v>330</v>
      </c>
      <c r="D369" t="s">
        <v>1389</v>
      </c>
      <c r="E369" t="s">
        <v>989</v>
      </c>
      <c r="F369" t="s">
        <v>988</v>
      </c>
    </row>
    <row r="370" spans="1:6" x14ac:dyDescent="0.25">
      <c r="A370" t="s">
        <v>224</v>
      </c>
      <c r="B370" t="s">
        <v>329</v>
      </c>
      <c r="C370" t="s">
        <v>330</v>
      </c>
      <c r="D370" t="s">
        <v>1390</v>
      </c>
      <c r="E370" t="s">
        <v>1020</v>
      </c>
      <c r="F370" t="s">
        <v>1020</v>
      </c>
    </row>
    <row r="371" spans="1:6" x14ac:dyDescent="0.25">
      <c r="A371" t="s">
        <v>224</v>
      </c>
      <c r="B371" t="s">
        <v>329</v>
      </c>
      <c r="C371" t="s">
        <v>330</v>
      </c>
      <c r="D371" t="s">
        <v>1391</v>
      </c>
      <c r="E371" t="s">
        <v>1020</v>
      </c>
      <c r="F371" t="s">
        <v>1020</v>
      </c>
    </row>
    <row r="372" spans="1:6" hidden="1" x14ac:dyDescent="0.25">
      <c r="A372" t="s">
        <v>224</v>
      </c>
      <c r="B372" t="s">
        <v>282</v>
      </c>
      <c r="C372" t="s">
        <v>283</v>
      </c>
      <c r="D372" t="s">
        <v>1392</v>
      </c>
      <c r="E372" t="s">
        <v>989</v>
      </c>
      <c r="F372" t="s">
        <v>988</v>
      </c>
    </row>
    <row r="373" spans="1:6" hidden="1" x14ac:dyDescent="0.25">
      <c r="A373" t="s">
        <v>224</v>
      </c>
      <c r="B373" t="s">
        <v>282</v>
      </c>
      <c r="C373" t="s">
        <v>283</v>
      </c>
      <c r="D373" t="s">
        <v>1393</v>
      </c>
      <c r="E373" t="s">
        <v>989</v>
      </c>
      <c r="F373" t="s">
        <v>988</v>
      </c>
    </row>
    <row r="374" spans="1:6" hidden="1" x14ac:dyDescent="0.25">
      <c r="A374" t="s">
        <v>224</v>
      </c>
      <c r="B374" t="s">
        <v>714</v>
      </c>
      <c r="C374" t="s">
        <v>715</v>
      </c>
      <c r="D374" t="s">
        <v>1394</v>
      </c>
      <c r="E374" t="str">
        <f>_xlfn.IFNA(INDEX(RETAIL__29[Nhóm KH], MATCH(DS_Khach_hang[[#This Row],[TÀI KHOẢN LƯU KÝ]], RETAIL__29[Số TK lưu ký KH], 0)) &amp; "", "")</f>
        <v>Standard</v>
      </c>
      <c r="F374" t="str">
        <f>_xlfn.IFNA(INDEX(RETAIL__29[Loại TK], MATCH(DS_Khach_hang[[#This Row],[TÀI KHOẢN LƯU KÝ]], RETAIL__29[Số TK lưu ký KH], 0)) &amp; "", "")</f>
        <v>RETAIL</v>
      </c>
    </row>
    <row r="375" spans="1:6" hidden="1" x14ac:dyDescent="0.25">
      <c r="A375" t="s">
        <v>224</v>
      </c>
      <c r="B375" t="s">
        <v>714</v>
      </c>
      <c r="C375" t="s">
        <v>715</v>
      </c>
      <c r="D375" t="s">
        <v>1395</v>
      </c>
      <c r="E375" t="str">
        <f>_xlfn.IFNA(INDEX(RETAIL__29[Nhóm KH], MATCH(DS_Khach_hang[[#This Row],[TÀI KHOẢN LƯU KÝ]], RETAIL__29[Số TK lưu ký KH], 0)) &amp; "", "")</f>
        <v>Standard</v>
      </c>
      <c r="F375" t="str">
        <f>_xlfn.IFNA(INDEX(RETAIL__29[Loại TK], MATCH(DS_Khach_hang[[#This Row],[TÀI KHOẢN LƯU KÝ]], RETAIL__29[Số TK lưu ký KH], 0)) &amp; "", "")</f>
        <v>RETAIL</v>
      </c>
    </row>
    <row r="376" spans="1:6" hidden="1" x14ac:dyDescent="0.25">
      <c r="A376" t="s">
        <v>224</v>
      </c>
      <c r="B376" t="s">
        <v>730</v>
      </c>
      <c r="C376" t="s">
        <v>731</v>
      </c>
      <c r="D376" t="s">
        <v>1396</v>
      </c>
      <c r="E376" t="str">
        <f>_xlfn.IFNA(INDEX(RETAIL__29[Nhóm KH], MATCH(DS_Khach_hang[[#This Row],[TÀI KHOẢN LƯU KÝ]], RETAIL__29[Số TK lưu ký KH], 0)) &amp; "", "")</f>
        <v>Standard</v>
      </c>
      <c r="F376" t="str">
        <f>_xlfn.IFNA(INDEX(RETAIL__29[Loại TK], MATCH(DS_Khach_hang[[#This Row],[TÀI KHOẢN LƯU KÝ]], RETAIL__29[Số TK lưu ký KH], 0)) &amp; "", "")</f>
        <v>RETAIL</v>
      </c>
    </row>
    <row r="377" spans="1:6" hidden="1" x14ac:dyDescent="0.25">
      <c r="A377" t="s">
        <v>224</v>
      </c>
      <c r="B377" t="s">
        <v>730</v>
      </c>
      <c r="C377" t="s">
        <v>731</v>
      </c>
      <c r="D377" t="s">
        <v>1397</v>
      </c>
      <c r="E377" t="str">
        <f>_xlfn.IFNA(INDEX(RETAIL__29[Nhóm KH], MATCH(DS_Khach_hang[[#This Row],[TÀI KHOẢN LƯU KÝ]], RETAIL__29[Số TK lưu ký KH], 0)) &amp; "", "")</f>
        <v>Standard</v>
      </c>
      <c r="F377" t="str">
        <f>_xlfn.IFNA(INDEX(RETAIL__29[Loại TK], MATCH(DS_Khach_hang[[#This Row],[TÀI KHOẢN LƯU KÝ]], RETAIL__29[Số TK lưu ký KH], 0)) &amp; "", "")</f>
        <v>RETAIL</v>
      </c>
    </row>
    <row r="378" spans="1:6" hidden="1" x14ac:dyDescent="0.25">
      <c r="A378" t="s">
        <v>224</v>
      </c>
      <c r="B378" t="s">
        <v>736</v>
      </c>
      <c r="C378" t="s">
        <v>737</v>
      </c>
      <c r="D378" t="s">
        <v>1398</v>
      </c>
      <c r="E378" t="str">
        <f>_xlfn.IFNA(INDEX(RETAIL__29[Nhóm KH], MATCH(DS_Khach_hang[[#This Row],[TÀI KHOẢN LƯU KÝ]], RETAIL__29[Số TK lưu ký KH], 0)) &amp; "", "")</f>
        <v>Standard</v>
      </c>
      <c r="F378" t="str">
        <f>_xlfn.IFNA(INDEX(RETAIL__29[Loại TK], MATCH(DS_Khach_hang[[#This Row],[TÀI KHOẢN LƯU KÝ]], RETAIL__29[Số TK lưu ký KH], 0)) &amp; "", "")</f>
        <v>RETAIL</v>
      </c>
    </row>
    <row r="379" spans="1:6" hidden="1" x14ac:dyDescent="0.25">
      <c r="A379" t="s">
        <v>224</v>
      </c>
      <c r="B379" t="s">
        <v>736</v>
      </c>
      <c r="C379" t="s">
        <v>737</v>
      </c>
      <c r="D379" t="s">
        <v>1399</v>
      </c>
      <c r="E379" t="str">
        <f>_xlfn.IFNA(INDEX(RETAIL__29[Nhóm KH], MATCH(DS_Khach_hang[[#This Row],[TÀI KHOẢN LƯU KÝ]], RETAIL__29[Số TK lưu ký KH], 0)) &amp; "", "")</f>
        <v>Standard</v>
      </c>
      <c r="F379" t="str">
        <f>_xlfn.IFNA(INDEX(RETAIL__29[Loại TK], MATCH(DS_Khach_hang[[#This Row],[TÀI KHOẢN LƯU KÝ]], RETAIL__29[Số TK lưu ký KH], 0)) &amp; "", "")</f>
        <v>RETAIL</v>
      </c>
    </row>
    <row r="380" spans="1:6" hidden="1" x14ac:dyDescent="0.25">
      <c r="A380" t="s">
        <v>224</v>
      </c>
      <c r="B380" t="s">
        <v>742</v>
      </c>
      <c r="C380" t="s">
        <v>743</v>
      </c>
      <c r="D380" t="s">
        <v>1400</v>
      </c>
      <c r="E380" t="str">
        <f>_xlfn.IFNA(INDEX(RETAIL__29[Nhóm KH], MATCH(DS_Khach_hang[[#This Row],[TÀI KHOẢN LƯU KÝ]], RETAIL__29[Số TK lưu ký KH], 0)) &amp; "", "")</f>
        <v>Standard</v>
      </c>
      <c r="F380" t="str">
        <f>_xlfn.IFNA(INDEX(RETAIL__29[Loại TK], MATCH(DS_Khach_hang[[#This Row],[TÀI KHOẢN LƯU KÝ]], RETAIL__29[Số TK lưu ký KH], 0)) &amp; "", "")</f>
        <v>RETAIL</v>
      </c>
    </row>
    <row r="381" spans="1:6" hidden="1" x14ac:dyDescent="0.25">
      <c r="A381" t="s">
        <v>224</v>
      </c>
      <c r="B381" t="s">
        <v>742</v>
      </c>
      <c r="C381" t="s">
        <v>743</v>
      </c>
      <c r="D381" t="s">
        <v>1401</v>
      </c>
      <c r="E381" t="str">
        <f>_xlfn.IFNA(INDEX(RETAIL__29[Nhóm KH], MATCH(DS_Khach_hang[[#This Row],[TÀI KHOẢN LƯU KÝ]], RETAIL__29[Số TK lưu ký KH], 0)) &amp; "", "")</f>
        <v>Standard</v>
      </c>
      <c r="F381" t="str">
        <f>_xlfn.IFNA(INDEX(RETAIL__29[Loại TK], MATCH(DS_Khach_hang[[#This Row],[TÀI KHOẢN LƯU KÝ]], RETAIL__29[Số TK lưu ký KH], 0)) &amp; "", "")</f>
        <v>RETAIL</v>
      </c>
    </row>
    <row r="382" spans="1:6" hidden="1" x14ac:dyDescent="0.25">
      <c r="A382" t="s">
        <v>224</v>
      </c>
      <c r="B382" t="s">
        <v>752</v>
      </c>
      <c r="C382" t="s">
        <v>753</v>
      </c>
      <c r="D382" t="s">
        <v>1402</v>
      </c>
      <c r="E382" t="str">
        <f>_xlfn.IFNA(INDEX(RETAIL__29[Nhóm KH], MATCH(DS_Khach_hang[[#This Row],[TÀI KHOẢN LƯU KÝ]], RETAIL__29[Số TK lưu ký KH], 0)) &amp; "", "")</f>
        <v>Standard</v>
      </c>
      <c r="F382" t="str">
        <f>_xlfn.IFNA(INDEX(RETAIL__29[Loại TK], MATCH(DS_Khach_hang[[#This Row],[TÀI KHOẢN LƯU KÝ]], RETAIL__29[Số TK lưu ký KH], 0)) &amp; "", "")</f>
        <v>RETAIL</v>
      </c>
    </row>
    <row r="383" spans="1:6" hidden="1" x14ac:dyDescent="0.25">
      <c r="A383" t="s">
        <v>224</v>
      </c>
      <c r="B383" t="s">
        <v>752</v>
      </c>
      <c r="C383" t="s">
        <v>753</v>
      </c>
      <c r="D383" t="s">
        <v>1403</v>
      </c>
      <c r="E383" t="str">
        <f>_xlfn.IFNA(INDEX(RETAIL__29[Nhóm KH], MATCH(DS_Khach_hang[[#This Row],[TÀI KHOẢN LƯU KÝ]], RETAIL__29[Số TK lưu ký KH], 0)) &amp; "", "")</f>
        <v>Standard</v>
      </c>
      <c r="F383" t="str">
        <f>_xlfn.IFNA(INDEX(RETAIL__29[Loại TK], MATCH(DS_Khach_hang[[#This Row],[TÀI KHOẢN LƯU KÝ]], RETAIL__29[Số TK lưu ký KH], 0)) &amp; "", "")</f>
        <v>RETAIL</v>
      </c>
    </row>
    <row r="384" spans="1:6" hidden="1" x14ac:dyDescent="0.25">
      <c r="A384" t="s">
        <v>224</v>
      </c>
      <c r="B384" t="s">
        <v>780</v>
      </c>
      <c r="C384" t="s">
        <v>781</v>
      </c>
      <c r="D384" t="s">
        <v>1404</v>
      </c>
      <c r="E384" t="str">
        <f>_xlfn.IFNA(INDEX(RETAIL__29[Nhóm KH], MATCH(DS_Khach_hang[[#This Row],[TÀI KHOẢN LƯU KÝ]], RETAIL__29[Số TK lưu ký KH], 0)) &amp; "", "")</f>
        <v>Standard</v>
      </c>
      <c r="F384" t="str">
        <f>_xlfn.IFNA(INDEX(RETAIL__29[Loại TK], MATCH(DS_Khach_hang[[#This Row],[TÀI KHOẢN LƯU KÝ]], RETAIL__29[Số TK lưu ký KH], 0)) &amp; "", "")</f>
        <v>RETAIL</v>
      </c>
    </row>
    <row r="385" spans="1:6" hidden="1" x14ac:dyDescent="0.25">
      <c r="A385" t="s">
        <v>224</v>
      </c>
      <c r="B385" t="s">
        <v>780</v>
      </c>
      <c r="C385" t="s">
        <v>781</v>
      </c>
      <c r="D385" t="s">
        <v>1405</v>
      </c>
      <c r="E385" t="str">
        <f>_xlfn.IFNA(INDEX(RETAIL__29[Nhóm KH], MATCH(DS_Khach_hang[[#This Row],[TÀI KHOẢN LƯU KÝ]], RETAIL__29[Số TK lưu ký KH], 0)) &amp; "", "")</f>
        <v>Standard</v>
      </c>
      <c r="F385" t="str">
        <f>_xlfn.IFNA(INDEX(RETAIL__29[Loại TK], MATCH(DS_Khach_hang[[#This Row],[TÀI KHOẢN LƯU KÝ]], RETAIL__29[Số TK lưu ký KH], 0)) &amp; "", "")</f>
        <v>RETAIL</v>
      </c>
    </row>
    <row r="386" spans="1:6" hidden="1" x14ac:dyDescent="0.25">
      <c r="A386" t="s">
        <v>224</v>
      </c>
      <c r="B386" t="s">
        <v>784</v>
      </c>
      <c r="C386" t="s">
        <v>785</v>
      </c>
      <c r="D386" t="s">
        <v>1406</v>
      </c>
      <c r="E386" t="str">
        <f>_xlfn.IFNA(INDEX(RETAIL__29[Nhóm KH], MATCH(DS_Khach_hang[[#This Row],[TÀI KHOẢN LƯU KÝ]], RETAIL__29[Số TK lưu ký KH], 0)) &amp; "", "")</f>
        <v>Standard</v>
      </c>
      <c r="F386" t="str">
        <f>_xlfn.IFNA(INDEX(RETAIL__29[Loại TK], MATCH(DS_Khach_hang[[#This Row],[TÀI KHOẢN LƯU KÝ]], RETAIL__29[Số TK lưu ký KH], 0)) &amp; "", "")</f>
        <v>RETAIL</v>
      </c>
    </row>
    <row r="387" spans="1:6" hidden="1" x14ac:dyDescent="0.25">
      <c r="A387" t="s">
        <v>224</v>
      </c>
      <c r="B387" t="s">
        <v>784</v>
      </c>
      <c r="C387" t="s">
        <v>785</v>
      </c>
      <c r="D387" t="s">
        <v>1407</v>
      </c>
      <c r="E387" t="str">
        <f>_xlfn.IFNA(INDEX(RETAIL__29[Nhóm KH], MATCH(DS_Khach_hang[[#This Row],[TÀI KHOẢN LƯU KÝ]], RETAIL__29[Số TK lưu ký KH], 0)) &amp; "", "")</f>
        <v>Standard</v>
      </c>
      <c r="F387" t="str">
        <f>_xlfn.IFNA(INDEX(RETAIL__29[Loại TK], MATCH(DS_Khach_hang[[#This Row],[TÀI KHOẢN LƯU KÝ]], RETAIL__29[Số TK lưu ký KH], 0)) &amp; "", "")</f>
        <v>RETAIL</v>
      </c>
    </row>
    <row r="388" spans="1:6" hidden="1" x14ac:dyDescent="0.25">
      <c r="A388" t="s">
        <v>224</v>
      </c>
      <c r="B388" t="s">
        <v>786</v>
      </c>
      <c r="C388" t="s">
        <v>787</v>
      </c>
      <c r="D388" t="s">
        <v>1408</v>
      </c>
      <c r="E388" t="str">
        <f>_xlfn.IFNA(INDEX(RETAIL__29[Nhóm KH], MATCH(DS_Khach_hang[[#This Row],[TÀI KHOẢN LƯU KÝ]], RETAIL__29[Số TK lưu ký KH], 0)) &amp; "", "")</f>
        <v>Standard</v>
      </c>
      <c r="F388" t="str">
        <f>_xlfn.IFNA(INDEX(RETAIL__29[Loại TK], MATCH(DS_Khach_hang[[#This Row],[TÀI KHOẢN LƯU KÝ]], RETAIL__29[Số TK lưu ký KH], 0)) &amp; "", "")</f>
        <v>RETAIL</v>
      </c>
    </row>
    <row r="389" spans="1:6" hidden="1" x14ac:dyDescent="0.25">
      <c r="A389" t="s">
        <v>224</v>
      </c>
      <c r="B389" t="s">
        <v>786</v>
      </c>
      <c r="C389" t="s">
        <v>787</v>
      </c>
      <c r="D389" t="s">
        <v>1409</v>
      </c>
      <c r="E389" t="str">
        <f>_xlfn.IFNA(INDEX(RETAIL__29[Nhóm KH], MATCH(DS_Khach_hang[[#This Row],[TÀI KHOẢN LƯU KÝ]], RETAIL__29[Số TK lưu ký KH], 0)) &amp; "", "")</f>
        <v>Standard</v>
      </c>
      <c r="F389" t="str">
        <f>_xlfn.IFNA(INDEX(RETAIL__29[Loại TK], MATCH(DS_Khach_hang[[#This Row],[TÀI KHOẢN LƯU KÝ]], RETAIL__29[Số TK lưu ký KH], 0)) &amp; "", "")</f>
        <v>RETAIL</v>
      </c>
    </row>
    <row r="390" spans="1:6" hidden="1" x14ac:dyDescent="0.25">
      <c r="A390" t="s">
        <v>224</v>
      </c>
      <c r="B390" t="s">
        <v>788</v>
      </c>
      <c r="C390" t="s">
        <v>789</v>
      </c>
      <c r="D390" t="s">
        <v>1410</v>
      </c>
      <c r="E390" t="str">
        <f>_xlfn.IFNA(INDEX(RETAIL__29[Nhóm KH], MATCH(DS_Khach_hang[[#This Row],[TÀI KHOẢN LƯU KÝ]], RETAIL__29[Số TK lưu ký KH], 0)) &amp; "", "")</f>
        <v>Standard</v>
      </c>
      <c r="F390" t="str">
        <f>_xlfn.IFNA(INDEX(RETAIL__29[Loại TK], MATCH(DS_Khach_hang[[#This Row],[TÀI KHOẢN LƯU KÝ]], RETAIL__29[Số TK lưu ký KH], 0)) &amp; "", "")</f>
        <v>RETAIL</v>
      </c>
    </row>
    <row r="391" spans="1:6" hidden="1" x14ac:dyDescent="0.25">
      <c r="A391" t="s">
        <v>224</v>
      </c>
      <c r="B391" t="s">
        <v>788</v>
      </c>
      <c r="C391" t="s">
        <v>789</v>
      </c>
      <c r="D391" t="s">
        <v>1411</v>
      </c>
      <c r="E391" t="str">
        <f>_xlfn.IFNA(INDEX(RETAIL__29[Nhóm KH], MATCH(DS_Khach_hang[[#This Row],[TÀI KHOẢN LƯU KÝ]], RETAIL__29[Số TK lưu ký KH], 0)) &amp; "", "")</f>
        <v>Standard</v>
      </c>
      <c r="F391" t="str">
        <f>_xlfn.IFNA(INDEX(RETAIL__29[Loại TK], MATCH(DS_Khach_hang[[#This Row],[TÀI KHOẢN LƯU KÝ]], RETAIL__29[Số TK lưu ký KH], 0)) &amp; "", "")</f>
        <v>RETAIL</v>
      </c>
    </row>
    <row r="392" spans="1:6" hidden="1" x14ac:dyDescent="0.25">
      <c r="A392" t="s">
        <v>224</v>
      </c>
      <c r="B392" t="s">
        <v>790</v>
      </c>
      <c r="C392" t="s">
        <v>791</v>
      </c>
      <c r="D392" t="s">
        <v>1412</v>
      </c>
      <c r="E392" t="str">
        <f>_xlfn.IFNA(INDEX(RETAIL__29[Nhóm KH], MATCH(DS_Khach_hang[[#This Row],[TÀI KHOẢN LƯU KÝ]], RETAIL__29[Số TK lưu ký KH], 0)) &amp; "", "")</f>
        <v>Standard</v>
      </c>
      <c r="F392" t="str">
        <f>_xlfn.IFNA(INDEX(RETAIL__29[Loại TK], MATCH(DS_Khach_hang[[#This Row],[TÀI KHOẢN LƯU KÝ]], RETAIL__29[Số TK lưu ký KH], 0)) &amp; "", "")</f>
        <v>RETAIL</v>
      </c>
    </row>
    <row r="393" spans="1:6" hidden="1" x14ac:dyDescent="0.25">
      <c r="A393" t="s">
        <v>224</v>
      </c>
      <c r="B393" t="s">
        <v>790</v>
      </c>
      <c r="C393" t="s">
        <v>791</v>
      </c>
      <c r="D393" t="s">
        <v>1413</v>
      </c>
      <c r="E393" t="str">
        <f>_xlfn.IFNA(INDEX(RETAIL__29[Nhóm KH], MATCH(DS_Khach_hang[[#This Row],[TÀI KHOẢN LƯU KÝ]], RETAIL__29[Số TK lưu ký KH], 0)) &amp; "", "")</f>
        <v>Standard</v>
      </c>
      <c r="F393" t="str">
        <f>_xlfn.IFNA(INDEX(RETAIL__29[Loại TK], MATCH(DS_Khach_hang[[#This Row],[TÀI KHOẢN LƯU KÝ]], RETAIL__29[Số TK lưu ký KH], 0)) &amp; "", "")</f>
        <v>RETAIL</v>
      </c>
    </row>
    <row r="394" spans="1:6" hidden="1" x14ac:dyDescent="0.25">
      <c r="A394" t="s">
        <v>224</v>
      </c>
      <c r="B394" t="s">
        <v>350</v>
      </c>
      <c r="C394" t="s">
        <v>351</v>
      </c>
      <c r="D394" t="s">
        <v>1414</v>
      </c>
      <c r="E394" t="s">
        <v>989</v>
      </c>
      <c r="F394" t="s">
        <v>988</v>
      </c>
    </row>
    <row r="395" spans="1:6" hidden="1" x14ac:dyDescent="0.25">
      <c r="A395" t="s">
        <v>224</v>
      </c>
      <c r="B395" t="s">
        <v>350</v>
      </c>
      <c r="C395" t="s">
        <v>351</v>
      </c>
      <c r="D395" t="s">
        <v>1415</v>
      </c>
      <c r="E395" t="s">
        <v>989</v>
      </c>
      <c r="F395" t="s">
        <v>988</v>
      </c>
    </row>
    <row r="396" spans="1:6" x14ac:dyDescent="0.25">
      <c r="A396" t="s">
        <v>224</v>
      </c>
      <c r="B396" t="s">
        <v>354</v>
      </c>
      <c r="C396" t="s">
        <v>355</v>
      </c>
      <c r="D396" t="s">
        <v>1416</v>
      </c>
      <c r="E396" t="s">
        <v>1020</v>
      </c>
      <c r="F396" t="s">
        <v>1020</v>
      </c>
    </row>
    <row r="397" spans="1:6" x14ac:dyDescent="0.25">
      <c r="A397" t="s">
        <v>224</v>
      </c>
      <c r="B397" t="s">
        <v>354</v>
      </c>
      <c r="C397" t="s">
        <v>355</v>
      </c>
      <c r="D397" t="s">
        <v>1417</v>
      </c>
      <c r="E397" t="s">
        <v>1020</v>
      </c>
      <c r="F397" t="s">
        <v>1020</v>
      </c>
    </row>
    <row r="398" spans="1:6" hidden="1" x14ac:dyDescent="0.25">
      <c r="A398" t="s">
        <v>224</v>
      </c>
      <c r="B398" t="s">
        <v>352</v>
      </c>
      <c r="C398" t="s">
        <v>353</v>
      </c>
      <c r="D398" t="s">
        <v>1418</v>
      </c>
      <c r="E398" t="s">
        <v>989</v>
      </c>
      <c r="F398" t="s">
        <v>988</v>
      </c>
    </row>
    <row r="399" spans="1:6" hidden="1" x14ac:dyDescent="0.25">
      <c r="A399" t="s">
        <v>224</v>
      </c>
      <c r="B399" t="s">
        <v>352</v>
      </c>
      <c r="C399" t="s">
        <v>353</v>
      </c>
      <c r="D399" t="s">
        <v>1419</v>
      </c>
      <c r="E399" t="s">
        <v>989</v>
      </c>
      <c r="F399" t="s">
        <v>988</v>
      </c>
    </row>
    <row r="400" spans="1:6" hidden="1" x14ac:dyDescent="0.25">
      <c r="A400" t="s">
        <v>224</v>
      </c>
      <c r="B400" t="s">
        <v>362</v>
      </c>
      <c r="C400" t="s">
        <v>363</v>
      </c>
      <c r="D400" t="s">
        <v>1420</v>
      </c>
      <c r="E400" t="s">
        <v>934</v>
      </c>
      <c r="F400" t="s">
        <v>923</v>
      </c>
    </row>
    <row r="401" spans="1:6" hidden="1" x14ac:dyDescent="0.25">
      <c r="A401" t="s">
        <v>224</v>
      </c>
      <c r="B401" t="s">
        <v>362</v>
      </c>
      <c r="C401" t="s">
        <v>363</v>
      </c>
      <c r="D401" t="s">
        <v>1421</v>
      </c>
      <c r="E401" t="s">
        <v>934</v>
      </c>
      <c r="F401" t="s">
        <v>923</v>
      </c>
    </row>
    <row r="402" spans="1:6" hidden="1" x14ac:dyDescent="0.25">
      <c r="A402" t="s">
        <v>224</v>
      </c>
      <c r="B402" t="s">
        <v>305</v>
      </c>
      <c r="C402" t="s">
        <v>306</v>
      </c>
      <c r="D402" t="s">
        <v>1422</v>
      </c>
      <c r="E402" t="s">
        <v>989</v>
      </c>
      <c r="F402" t="s">
        <v>988</v>
      </c>
    </row>
    <row r="403" spans="1:6" hidden="1" x14ac:dyDescent="0.25">
      <c r="A403" t="s">
        <v>224</v>
      </c>
      <c r="B403" t="s">
        <v>305</v>
      </c>
      <c r="C403" t="s">
        <v>306</v>
      </c>
      <c r="D403" t="s">
        <v>1423</v>
      </c>
      <c r="E403" t="s">
        <v>989</v>
      </c>
      <c r="F403" t="s">
        <v>988</v>
      </c>
    </row>
    <row r="404" spans="1:6" hidden="1" x14ac:dyDescent="0.25">
      <c r="A404" t="s">
        <v>224</v>
      </c>
      <c r="B404" t="s">
        <v>792</v>
      </c>
      <c r="C404" t="s">
        <v>793</v>
      </c>
      <c r="D404" t="s">
        <v>1424</v>
      </c>
      <c r="E404" t="str">
        <f>_xlfn.IFNA(INDEX(RETAIL__29[Nhóm KH], MATCH(DS_Khach_hang[[#This Row],[TÀI KHOẢN LƯU KÝ]], RETAIL__29[Số TK lưu ký KH], 0)) &amp; "", "")</f>
        <v>Standard</v>
      </c>
      <c r="F404" t="str">
        <f>_xlfn.IFNA(INDEX(RETAIL__29[Loại TK], MATCH(DS_Khach_hang[[#This Row],[TÀI KHOẢN LƯU KÝ]], RETAIL__29[Số TK lưu ký KH], 0)) &amp; "", "")</f>
        <v>RETAIL</v>
      </c>
    </row>
    <row r="405" spans="1:6" hidden="1" x14ac:dyDescent="0.25">
      <c r="A405" t="s">
        <v>224</v>
      </c>
      <c r="B405" t="s">
        <v>792</v>
      </c>
      <c r="C405" t="s">
        <v>793</v>
      </c>
      <c r="D405" t="s">
        <v>1425</v>
      </c>
      <c r="E405" t="str">
        <f>_xlfn.IFNA(INDEX(RETAIL__29[Nhóm KH], MATCH(DS_Khach_hang[[#This Row],[TÀI KHOẢN LƯU KÝ]], RETAIL__29[Số TK lưu ký KH], 0)) &amp; "", "")</f>
        <v>Standard</v>
      </c>
      <c r="F405" t="str">
        <f>_xlfn.IFNA(INDEX(RETAIL__29[Loại TK], MATCH(DS_Khach_hang[[#This Row],[TÀI KHOẢN LƯU KÝ]], RETAIL__29[Số TK lưu ký KH], 0)) &amp; "", "")</f>
        <v>RETAIL</v>
      </c>
    </row>
    <row r="406" spans="1:6" hidden="1" x14ac:dyDescent="0.25">
      <c r="A406" t="s">
        <v>224</v>
      </c>
      <c r="B406" t="s">
        <v>794</v>
      </c>
      <c r="C406" t="s">
        <v>795</v>
      </c>
      <c r="D406" t="s">
        <v>1426</v>
      </c>
      <c r="E406" t="str">
        <f>_xlfn.IFNA(INDEX(RETAIL__29[Nhóm KH], MATCH(DS_Khach_hang[[#This Row],[TÀI KHOẢN LƯU KÝ]], RETAIL__29[Số TK lưu ký KH], 0)) &amp; "", "")</f>
        <v>Standard</v>
      </c>
      <c r="F406" t="str">
        <f>_xlfn.IFNA(INDEX(RETAIL__29[Loại TK], MATCH(DS_Khach_hang[[#This Row],[TÀI KHOẢN LƯU KÝ]], RETAIL__29[Số TK lưu ký KH], 0)) &amp; "", "")</f>
        <v>RETAIL</v>
      </c>
    </row>
    <row r="407" spans="1:6" hidden="1" x14ac:dyDescent="0.25">
      <c r="A407" t="s">
        <v>224</v>
      </c>
      <c r="B407" t="s">
        <v>794</v>
      </c>
      <c r="C407" t="s">
        <v>795</v>
      </c>
      <c r="D407" t="s">
        <v>1427</v>
      </c>
      <c r="E407" t="str">
        <f>_xlfn.IFNA(INDEX(RETAIL__29[Nhóm KH], MATCH(DS_Khach_hang[[#This Row],[TÀI KHOẢN LƯU KÝ]], RETAIL__29[Số TK lưu ký KH], 0)) &amp; "", "")</f>
        <v>Standard</v>
      </c>
      <c r="F407" t="str">
        <f>_xlfn.IFNA(INDEX(RETAIL__29[Loại TK], MATCH(DS_Khach_hang[[#This Row],[TÀI KHOẢN LƯU KÝ]], RETAIL__29[Số TK lưu ký KH], 0)) &amp; "", "")</f>
        <v>RETAIL</v>
      </c>
    </row>
    <row r="408" spans="1:6" hidden="1" x14ac:dyDescent="0.25">
      <c r="A408" t="s">
        <v>224</v>
      </c>
      <c r="B408" t="s">
        <v>796</v>
      </c>
      <c r="C408" t="s">
        <v>797</v>
      </c>
      <c r="D408" t="s">
        <v>1428</v>
      </c>
      <c r="E408" t="str">
        <f>_xlfn.IFNA(INDEX(RETAIL__29[Nhóm KH], MATCH(DS_Khach_hang[[#This Row],[TÀI KHOẢN LƯU KÝ]], RETAIL__29[Số TK lưu ký KH], 0)) &amp; "", "")</f>
        <v>Standard</v>
      </c>
      <c r="F408" t="str">
        <f>_xlfn.IFNA(INDEX(RETAIL__29[Loại TK], MATCH(DS_Khach_hang[[#This Row],[TÀI KHOẢN LƯU KÝ]], RETAIL__29[Số TK lưu ký KH], 0)) &amp; "", "")</f>
        <v>RETAIL</v>
      </c>
    </row>
    <row r="409" spans="1:6" hidden="1" x14ac:dyDescent="0.25">
      <c r="A409" t="s">
        <v>224</v>
      </c>
      <c r="B409" t="s">
        <v>796</v>
      </c>
      <c r="C409" t="s">
        <v>797</v>
      </c>
      <c r="D409" t="s">
        <v>1429</v>
      </c>
      <c r="E409" t="str">
        <f>_xlfn.IFNA(INDEX(RETAIL__29[Nhóm KH], MATCH(DS_Khach_hang[[#This Row],[TÀI KHOẢN LƯU KÝ]], RETAIL__29[Số TK lưu ký KH], 0)) &amp; "", "")</f>
        <v>Standard</v>
      </c>
      <c r="F409" t="str">
        <f>_xlfn.IFNA(INDEX(RETAIL__29[Loại TK], MATCH(DS_Khach_hang[[#This Row],[TÀI KHOẢN LƯU KÝ]], RETAIL__29[Số TK lưu ký KH], 0)) &amp; "", "")</f>
        <v>RETAIL</v>
      </c>
    </row>
    <row r="410" spans="1:6" hidden="1" x14ac:dyDescent="0.25">
      <c r="A410" t="s">
        <v>224</v>
      </c>
      <c r="B410" t="s">
        <v>798</v>
      </c>
      <c r="C410" t="s">
        <v>799</v>
      </c>
      <c r="D410" t="s">
        <v>1430</v>
      </c>
      <c r="E410" t="str">
        <f>_xlfn.IFNA(INDEX(RETAIL__29[Nhóm KH], MATCH(DS_Khach_hang[[#This Row],[TÀI KHOẢN LƯU KÝ]], RETAIL__29[Số TK lưu ký KH], 0)) &amp; "", "")</f>
        <v>Standard</v>
      </c>
      <c r="F410" t="str">
        <f>_xlfn.IFNA(INDEX(RETAIL__29[Loại TK], MATCH(DS_Khach_hang[[#This Row],[TÀI KHOẢN LƯU KÝ]], RETAIL__29[Số TK lưu ký KH], 0)) &amp; "", "")</f>
        <v>RETAIL</v>
      </c>
    </row>
    <row r="411" spans="1:6" hidden="1" x14ac:dyDescent="0.25">
      <c r="A411" t="s">
        <v>224</v>
      </c>
      <c r="B411" t="s">
        <v>798</v>
      </c>
      <c r="C411" t="s">
        <v>799</v>
      </c>
      <c r="D411" t="s">
        <v>1431</v>
      </c>
      <c r="E411" t="str">
        <f>_xlfn.IFNA(INDEX(RETAIL__29[Nhóm KH], MATCH(DS_Khach_hang[[#This Row],[TÀI KHOẢN LƯU KÝ]], RETAIL__29[Số TK lưu ký KH], 0)) &amp; "", "")</f>
        <v>Standard</v>
      </c>
      <c r="F411" t="str">
        <f>_xlfn.IFNA(INDEX(RETAIL__29[Loại TK], MATCH(DS_Khach_hang[[#This Row],[TÀI KHOẢN LƯU KÝ]], RETAIL__29[Số TK lưu ký KH], 0)) &amp; "", "")</f>
        <v>RETAIL</v>
      </c>
    </row>
    <row r="412" spans="1:6" hidden="1" x14ac:dyDescent="0.25">
      <c r="A412" t="s">
        <v>224</v>
      </c>
      <c r="B412" t="s">
        <v>815</v>
      </c>
      <c r="C412" t="s">
        <v>816</v>
      </c>
      <c r="D412" t="s">
        <v>1432</v>
      </c>
      <c r="E412" t="str">
        <f>_xlfn.IFNA(INDEX(RETAIL__29[Nhóm KH], MATCH(DS_Khach_hang[[#This Row],[TÀI KHOẢN LƯU KÝ]], RETAIL__29[Số TK lưu ký KH], 0)) &amp; "", "")</f>
        <v>VPX0</v>
      </c>
      <c r="F412" t="str">
        <f>_xlfn.IFNA(INDEX(RETAIL__29[Loại TK], MATCH(DS_Khach_hang[[#This Row],[TÀI KHOẢN LƯU KÝ]], RETAIL__29[Số TK lưu ký KH], 0)) &amp; "", "")</f>
        <v>DEAL</v>
      </c>
    </row>
    <row r="413" spans="1:6" hidden="1" x14ac:dyDescent="0.25">
      <c r="A413" t="s">
        <v>224</v>
      </c>
      <c r="B413" t="s">
        <v>815</v>
      </c>
      <c r="C413" t="s">
        <v>816</v>
      </c>
      <c r="D413" t="s">
        <v>1433</v>
      </c>
      <c r="E413" t="str">
        <f>_xlfn.IFNA(INDEX(RETAIL__29[Nhóm KH], MATCH(DS_Khach_hang[[#This Row],[TÀI KHOẢN LƯU KÝ]], RETAIL__29[Số TK lưu ký KH], 0)) &amp; "", "")</f>
        <v>VPX0</v>
      </c>
      <c r="F413" t="str">
        <f>_xlfn.IFNA(INDEX(RETAIL__29[Loại TK], MATCH(DS_Khach_hang[[#This Row],[TÀI KHOẢN LƯU KÝ]], RETAIL__29[Số TK lưu ký KH], 0)) &amp; "", "")</f>
        <v>DEAL</v>
      </c>
    </row>
    <row r="414" spans="1:6" hidden="1" x14ac:dyDescent="0.25">
      <c r="A414" t="s">
        <v>224</v>
      </c>
      <c r="B414" t="s">
        <v>269</v>
      </c>
      <c r="C414" t="s">
        <v>224</v>
      </c>
      <c r="D414" t="s">
        <v>1434</v>
      </c>
      <c r="E414" t="s">
        <v>965</v>
      </c>
      <c r="F414" t="s">
        <v>923</v>
      </c>
    </row>
    <row r="415" spans="1:6" hidden="1" x14ac:dyDescent="0.25">
      <c r="A415" t="s">
        <v>224</v>
      </c>
      <c r="B415" t="s">
        <v>269</v>
      </c>
      <c r="C415" t="s">
        <v>224</v>
      </c>
      <c r="D415" t="s">
        <v>1435</v>
      </c>
      <c r="E415" t="s">
        <v>965</v>
      </c>
      <c r="F415" t="s">
        <v>923</v>
      </c>
    </row>
    <row r="416" spans="1:6" hidden="1" x14ac:dyDescent="0.25">
      <c r="A416" t="s">
        <v>224</v>
      </c>
      <c r="B416" t="s">
        <v>817</v>
      </c>
      <c r="C416" t="s">
        <v>818</v>
      </c>
      <c r="D416" t="s">
        <v>1436</v>
      </c>
      <c r="E416" t="str">
        <f>_xlfn.IFNA(INDEX(RETAIL__29[Nhóm KH], MATCH(DS_Khach_hang[[#This Row],[TÀI KHOẢN LƯU KÝ]], RETAIL__29[Số TK lưu ký KH], 0)) &amp; "", "")</f>
        <v>Standard</v>
      </c>
      <c r="F416" t="str">
        <f>_xlfn.IFNA(INDEX(RETAIL__29[Loại TK], MATCH(DS_Khach_hang[[#This Row],[TÀI KHOẢN LƯU KÝ]], RETAIL__29[Số TK lưu ký KH], 0)) &amp; "", "")</f>
        <v>RETAIL</v>
      </c>
    </row>
    <row r="417" spans="1:6" hidden="1" x14ac:dyDescent="0.25">
      <c r="A417" t="s">
        <v>224</v>
      </c>
      <c r="B417" t="s">
        <v>817</v>
      </c>
      <c r="C417" t="s">
        <v>818</v>
      </c>
      <c r="D417" t="s">
        <v>1437</v>
      </c>
      <c r="E417" t="str">
        <f>_xlfn.IFNA(INDEX(RETAIL__29[Nhóm KH], MATCH(DS_Khach_hang[[#This Row],[TÀI KHOẢN LƯU KÝ]], RETAIL__29[Số TK lưu ký KH], 0)) &amp; "", "")</f>
        <v>Standard</v>
      </c>
      <c r="F417" t="str">
        <f>_xlfn.IFNA(INDEX(RETAIL__29[Loại TK], MATCH(DS_Khach_hang[[#This Row],[TÀI KHOẢN LƯU KÝ]], RETAIL__29[Số TK lưu ký KH], 0)) &amp; "", "")</f>
        <v>RETAIL</v>
      </c>
    </row>
    <row r="418" spans="1:6" hidden="1" x14ac:dyDescent="0.25">
      <c r="A418" t="s">
        <v>224</v>
      </c>
      <c r="B418" t="s">
        <v>265</v>
      </c>
      <c r="C418" t="s">
        <v>266</v>
      </c>
      <c r="D418" t="s">
        <v>1438</v>
      </c>
      <c r="E418" t="s">
        <v>938</v>
      </c>
      <c r="F418" t="s">
        <v>923</v>
      </c>
    </row>
    <row r="419" spans="1:6" hidden="1" x14ac:dyDescent="0.25">
      <c r="A419" t="s">
        <v>224</v>
      </c>
      <c r="B419" t="s">
        <v>265</v>
      </c>
      <c r="C419" t="s">
        <v>266</v>
      </c>
      <c r="D419" t="s">
        <v>1439</v>
      </c>
      <c r="E419" t="s">
        <v>938</v>
      </c>
      <c r="F419" t="s">
        <v>923</v>
      </c>
    </row>
    <row r="420" spans="1:6" hidden="1" x14ac:dyDescent="0.25">
      <c r="A420" t="s">
        <v>224</v>
      </c>
      <c r="B420" t="s">
        <v>370</v>
      </c>
      <c r="C420" t="s">
        <v>371</v>
      </c>
      <c r="D420" t="s">
        <v>1440</v>
      </c>
      <c r="E420" t="s">
        <v>989</v>
      </c>
      <c r="F420" t="s">
        <v>988</v>
      </c>
    </row>
    <row r="421" spans="1:6" hidden="1" x14ac:dyDescent="0.25">
      <c r="A421" t="s">
        <v>224</v>
      </c>
      <c r="B421" t="s">
        <v>370</v>
      </c>
      <c r="C421" t="s">
        <v>371</v>
      </c>
      <c r="D421" t="s">
        <v>1441</v>
      </c>
      <c r="E421" t="s">
        <v>989</v>
      </c>
      <c r="F421" t="s">
        <v>988</v>
      </c>
    </row>
    <row r="422" spans="1:6" hidden="1" x14ac:dyDescent="0.25">
      <c r="A422" t="s">
        <v>224</v>
      </c>
      <c r="B422" t="s">
        <v>323</v>
      </c>
      <c r="C422" t="s">
        <v>324</v>
      </c>
      <c r="D422" t="s">
        <v>1442</v>
      </c>
      <c r="E422" t="s">
        <v>989</v>
      </c>
      <c r="F422" t="s">
        <v>988</v>
      </c>
    </row>
    <row r="423" spans="1:6" hidden="1" x14ac:dyDescent="0.25">
      <c r="A423" t="s">
        <v>224</v>
      </c>
      <c r="B423" t="s">
        <v>323</v>
      </c>
      <c r="C423" t="s">
        <v>324</v>
      </c>
      <c r="D423" t="s">
        <v>1443</v>
      </c>
      <c r="E423" t="s">
        <v>989</v>
      </c>
      <c r="F423" t="s">
        <v>988</v>
      </c>
    </row>
    <row r="424" spans="1:6" hidden="1" x14ac:dyDescent="0.25">
      <c r="A424" t="s">
        <v>224</v>
      </c>
      <c r="B424" t="s">
        <v>317</v>
      </c>
      <c r="C424" t="s">
        <v>318</v>
      </c>
      <c r="D424" t="s">
        <v>1444</v>
      </c>
      <c r="E424" t="s">
        <v>989</v>
      </c>
      <c r="F424" t="s">
        <v>988</v>
      </c>
    </row>
    <row r="425" spans="1:6" hidden="1" x14ac:dyDescent="0.25">
      <c r="A425" t="s">
        <v>224</v>
      </c>
      <c r="B425" t="s">
        <v>317</v>
      </c>
      <c r="C425" t="s">
        <v>318</v>
      </c>
      <c r="D425" t="s">
        <v>1445</v>
      </c>
      <c r="E425" t="s">
        <v>989</v>
      </c>
      <c r="F425" t="s">
        <v>988</v>
      </c>
    </row>
    <row r="426" spans="1:6" hidden="1" x14ac:dyDescent="0.25">
      <c r="A426" t="s">
        <v>224</v>
      </c>
      <c r="B426" t="s">
        <v>823</v>
      </c>
      <c r="C426" t="s">
        <v>824</v>
      </c>
      <c r="D426" t="s">
        <v>1446</v>
      </c>
      <c r="E426" t="str">
        <f>_xlfn.IFNA(INDEX(RETAIL__29[Nhóm KH], MATCH(DS_Khach_hang[[#This Row],[TÀI KHOẢN LƯU KÝ]], RETAIL__29[Số TK lưu ký KH], 0)) &amp; "", "")</f>
        <v>Standard</v>
      </c>
      <c r="F426" t="str">
        <f>_xlfn.IFNA(INDEX(RETAIL__29[Loại TK], MATCH(DS_Khach_hang[[#This Row],[TÀI KHOẢN LƯU KÝ]], RETAIL__29[Số TK lưu ký KH], 0)) &amp; "", "")</f>
        <v>RETAIL</v>
      </c>
    </row>
    <row r="427" spans="1:6" hidden="1" x14ac:dyDescent="0.25">
      <c r="A427" t="s">
        <v>224</v>
      </c>
      <c r="B427" t="s">
        <v>823</v>
      </c>
      <c r="C427" t="s">
        <v>824</v>
      </c>
      <c r="D427" t="s">
        <v>1447</v>
      </c>
      <c r="E427" t="str">
        <f>_xlfn.IFNA(INDEX(RETAIL__29[Nhóm KH], MATCH(DS_Khach_hang[[#This Row],[TÀI KHOẢN LƯU KÝ]], RETAIL__29[Số TK lưu ký KH], 0)) &amp; "", "")</f>
        <v>Standard</v>
      </c>
      <c r="F427" t="str">
        <f>_xlfn.IFNA(INDEX(RETAIL__29[Loại TK], MATCH(DS_Khach_hang[[#This Row],[TÀI KHOẢN LƯU KÝ]], RETAIL__29[Số TK lưu ký KH], 0)) &amp; "", "")</f>
        <v>RETAIL</v>
      </c>
    </row>
    <row r="428" spans="1:6" hidden="1" x14ac:dyDescent="0.25">
      <c r="A428" t="s">
        <v>224</v>
      </c>
      <c r="B428" t="s">
        <v>843</v>
      </c>
      <c r="C428" t="s">
        <v>74</v>
      </c>
      <c r="D428" t="s">
        <v>1448</v>
      </c>
      <c r="E428" t="str">
        <f>_xlfn.IFNA(INDEX(RETAIL__29[Nhóm KH], MATCH(DS_Khach_hang[[#This Row],[TÀI KHOẢN LƯU KÝ]], RETAIL__29[Số TK lưu ký KH], 0)) &amp; "", "")</f>
        <v>Standard</v>
      </c>
      <c r="F428" t="str">
        <f>_xlfn.IFNA(INDEX(RETAIL__29[Loại TK], MATCH(DS_Khach_hang[[#This Row],[TÀI KHOẢN LƯU KÝ]], RETAIL__29[Số TK lưu ký KH], 0)) &amp; "", "")</f>
        <v>RETAIL</v>
      </c>
    </row>
    <row r="429" spans="1:6" hidden="1" x14ac:dyDescent="0.25">
      <c r="A429" t="s">
        <v>224</v>
      </c>
      <c r="B429" t="s">
        <v>843</v>
      </c>
      <c r="C429" t="s">
        <v>74</v>
      </c>
      <c r="D429" t="s">
        <v>1449</v>
      </c>
      <c r="E429" t="str">
        <f>_xlfn.IFNA(INDEX(RETAIL__29[Nhóm KH], MATCH(DS_Khach_hang[[#This Row],[TÀI KHOẢN LƯU KÝ]], RETAIL__29[Số TK lưu ký KH], 0)) &amp; "", "")</f>
        <v>Standard</v>
      </c>
      <c r="F429" t="str">
        <f>_xlfn.IFNA(INDEX(RETAIL__29[Loại TK], MATCH(DS_Khach_hang[[#This Row],[TÀI KHOẢN LƯU KÝ]], RETAIL__29[Số TK lưu ký KH], 0)) &amp; "", "")</f>
        <v>RETAIL</v>
      </c>
    </row>
    <row r="430" spans="1:6" x14ac:dyDescent="0.25">
      <c r="A430" t="s">
        <v>224</v>
      </c>
      <c r="B430" t="s">
        <v>237</v>
      </c>
      <c r="C430" t="s">
        <v>238</v>
      </c>
      <c r="D430" t="s">
        <v>1450</v>
      </c>
      <c r="E430" t="s">
        <v>1020</v>
      </c>
      <c r="F430" t="s">
        <v>1020</v>
      </c>
    </row>
    <row r="431" spans="1:6" x14ac:dyDescent="0.25">
      <c r="A431" t="s">
        <v>224</v>
      </c>
      <c r="B431" t="s">
        <v>237</v>
      </c>
      <c r="C431" t="s">
        <v>238</v>
      </c>
      <c r="D431" t="s">
        <v>1451</v>
      </c>
      <c r="E431" t="s">
        <v>1020</v>
      </c>
      <c r="F431" t="s">
        <v>1020</v>
      </c>
    </row>
    <row r="432" spans="1:6" hidden="1" x14ac:dyDescent="0.25">
      <c r="A432" t="s">
        <v>224</v>
      </c>
      <c r="B432" t="s">
        <v>358</v>
      </c>
      <c r="C432" t="s">
        <v>359</v>
      </c>
      <c r="D432" t="s">
        <v>1452</v>
      </c>
      <c r="E432" t="s">
        <v>989</v>
      </c>
      <c r="F432" t="s">
        <v>988</v>
      </c>
    </row>
    <row r="433" spans="1:6" hidden="1" x14ac:dyDescent="0.25">
      <c r="A433" t="s">
        <v>224</v>
      </c>
      <c r="B433" t="s">
        <v>358</v>
      </c>
      <c r="C433" t="s">
        <v>359</v>
      </c>
      <c r="D433" t="s">
        <v>1453</v>
      </c>
      <c r="E433" t="s">
        <v>989</v>
      </c>
      <c r="F433" t="s">
        <v>988</v>
      </c>
    </row>
    <row r="434" spans="1:6" hidden="1" x14ac:dyDescent="0.25">
      <c r="A434" t="s">
        <v>224</v>
      </c>
      <c r="B434" t="s">
        <v>368</v>
      </c>
      <c r="C434" t="s">
        <v>369</v>
      </c>
      <c r="D434" t="s">
        <v>1454</v>
      </c>
      <c r="E434" t="s">
        <v>989</v>
      </c>
      <c r="F434" t="s">
        <v>988</v>
      </c>
    </row>
    <row r="435" spans="1:6" hidden="1" x14ac:dyDescent="0.25">
      <c r="A435" t="s">
        <v>224</v>
      </c>
      <c r="B435" t="s">
        <v>368</v>
      </c>
      <c r="C435" t="s">
        <v>369</v>
      </c>
      <c r="D435" t="s">
        <v>1455</v>
      </c>
      <c r="E435" t="s">
        <v>989</v>
      </c>
      <c r="F435" t="s">
        <v>988</v>
      </c>
    </row>
    <row r="436" spans="1:6" hidden="1" x14ac:dyDescent="0.25">
      <c r="A436" t="s">
        <v>224</v>
      </c>
      <c r="B436" t="s">
        <v>339</v>
      </c>
      <c r="C436" t="s">
        <v>340</v>
      </c>
      <c r="D436" t="s">
        <v>1456</v>
      </c>
      <c r="E436" t="s">
        <v>989</v>
      </c>
      <c r="F436" t="s">
        <v>988</v>
      </c>
    </row>
    <row r="437" spans="1:6" hidden="1" x14ac:dyDescent="0.25">
      <c r="A437" t="s">
        <v>224</v>
      </c>
      <c r="B437" t="s">
        <v>339</v>
      </c>
      <c r="C437" t="s">
        <v>340</v>
      </c>
      <c r="D437" t="s">
        <v>1457</v>
      </c>
      <c r="E437" t="s">
        <v>989</v>
      </c>
      <c r="F437" t="s">
        <v>988</v>
      </c>
    </row>
    <row r="438" spans="1:6" hidden="1" x14ac:dyDescent="0.25">
      <c r="A438" t="s">
        <v>224</v>
      </c>
      <c r="B438" t="s">
        <v>366</v>
      </c>
      <c r="C438" t="s">
        <v>367</v>
      </c>
      <c r="D438" t="s">
        <v>1458</v>
      </c>
      <c r="E438" t="s">
        <v>989</v>
      </c>
      <c r="F438" t="s">
        <v>988</v>
      </c>
    </row>
    <row r="439" spans="1:6" hidden="1" x14ac:dyDescent="0.25">
      <c r="A439" t="s">
        <v>224</v>
      </c>
      <c r="B439" t="s">
        <v>366</v>
      </c>
      <c r="C439" t="s">
        <v>367</v>
      </c>
      <c r="D439" t="s">
        <v>1459</v>
      </c>
      <c r="E439" t="s">
        <v>989</v>
      </c>
      <c r="F439" t="s">
        <v>988</v>
      </c>
    </row>
    <row r="440" spans="1:6" hidden="1" x14ac:dyDescent="0.25">
      <c r="A440" t="s">
        <v>224</v>
      </c>
      <c r="B440" t="s">
        <v>356</v>
      </c>
      <c r="C440" t="s">
        <v>357</v>
      </c>
      <c r="D440" t="s">
        <v>1460</v>
      </c>
      <c r="E440" t="s">
        <v>989</v>
      </c>
      <c r="F440" t="s">
        <v>988</v>
      </c>
    </row>
    <row r="441" spans="1:6" hidden="1" x14ac:dyDescent="0.25">
      <c r="A441" t="s">
        <v>224</v>
      </c>
      <c r="B441" t="s">
        <v>356</v>
      </c>
      <c r="C441" t="s">
        <v>357</v>
      </c>
      <c r="D441" t="s">
        <v>1461</v>
      </c>
      <c r="E441" t="s">
        <v>989</v>
      </c>
      <c r="F441" t="s">
        <v>988</v>
      </c>
    </row>
    <row r="442" spans="1:6" hidden="1" x14ac:dyDescent="0.25">
      <c r="A442" t="s">
        <v>224</v>
      </c>
      <c r="B442" t="s">
        <v>360</v>
      </c>
      <c r="C442" t="s">
        <v>361</v>
      </c>
      <c r="D442" t="s">
        <v>1462</v>
      </c>
      <c r="E442" t="s">
        <v>989</v>
      </c>
      <c r="F442" t="s">
        <v>988</v>
      </c>
    </row>
    <row r="443" spans="1:6" hidden="1" x14ac:dyDescent="0.25">
      <c r="A443" t="s">
        <v>224</v>
      </c>
      <c r="B443" t="s">
        <v>360</v>
      </c>
      <c r="C443" t="s">
        <v>361</v>
      </c>
      <c r="D443" t="s">
        <v>1463</v>
      </c>
      <c r="E443" t="s">
        <v>989</v>
      </c>
      <c r="F443" t="s">
        <v>988</v>
      </c>
    </row>
    <row r="444" spans="1:6" hidden="1" x14ac:dyDescent="0.25">
      <c r="A444" t="s">
        <v>224</v>
      </c>
      <c r="B444" t="s">
        <v>894</v>
      </c>
      <c r="C444" t="s">
        <v>895</v>
      </c>
      <c r="D444" t="s">
        <v>1464</v>
      </c>
      <c r="E444" t="str">
        <f>_xlfn.IFNA(INDEX(RETAIL__29[Nhóm KH], MATCH(DS_Khach_hang[[#This Row],[TÀI KHOẢN LƯU KÝ]], RETAIL__29[Số TK lưu ký KH], 0)) &amp; "", "")</f>
        <v>Standard</v>
      </c>
      <c r="F444" t="str">
        <f>_xlfn.IFNA(INDEX(RETAIL__29[Loại TK], MATCH(DS_Khach_hang[[#This Row],[TÀI KHOẢN LƯU KÝ]], RETAIL__29[Số TK lưu ký KH], 0)) &amp; "", "")</f>
        <v>RETAIL</v>
      </c>
    </row>
    <row r="445" spans="1:6" hidden="1" x14ac:dyDescent="0.25">
      <c r="A445" t="s">
        <v>224</v>
      </c>
      <c r="B445" t="s">
        <v>894</v>
      </c>
      <c r="C445" t="s">
        <v>895</v>
      </c>
      <c r="D445" t="s">
        <v>1465</v>
      </c>
      <c r="E445" t="str">
        <f>_xlfn.IFNA(INDEX(RETAIL__29[Nhóm KH], MATCH(DS_Khach_hang[[#This Row],[TÀI KHOẢN LƯU KÝ]], RETAIL__29[Số TK lưu ký KH], 0)) &amp; "", "")</f>
        <v>Standard</v>
      </c>
      <c r="F445" t="str">
        <f>_xlfn.IFNA(INDEX(RETAIL__29[Loại TK], MATCH(DS_Khach_hang[[#This Row],[TÀI KHOẢN LƯU KÝ]], RETAIL__29[Số TK lưu ký KH], 0)) &amp; "", "")</f>
        <v>RETAIL</v>
      </c>
    </row>
    <row r="446" spans="1:6" hidden="1" x14ac:dyDescent="0.25">
      <c r="A446" t="s">
        <v>224</v>
      </c>
      <c r="B446" t="s">
        <v>896</v>
      </c>
      <c r="C446" t="s">
        <v>897</v>
      </c>
      <c r="D446" t="s">
        <v>1466</v>
      </c>
      <c r="E446" t="str">
        <f>_xlfn.IFNA(INDEX(RETAIL__29[Nhóm KH], MATCH(DS_Khach_hang[[#This Row],[TÀI KHOẢN LƯU KÝ]], RETAIL__29[Số TK lưu ký KH], 0)) &amp; "", "")</f>
        <v>Standard</v>
      </c>
      <c r="F446" t="str">
        <f>_xlfn.IFNA(INDEX(RETAIL__29[Loại TK], MATCH(DS_Khach_hang[[#This Row],[TÀI KHOẢN LƯU KÝ]], RETAIL__29[Số TK lưu ký KH], 0)) &amp; "", "")</f>
        <v>RETAIL</v>
      </c>
    </row>
    <row r="447" spans="1:6" hidden="1" x14ac:dyDescent="0.25">
      <c r="A447" t="s">
        <v>224</v>
      </c>
      <c r="B447" t="s">
        <v>896</v>
      </c>
      <c r="C447" t="s">
        <v>897</v>
      </c>
      <c r="D447" t="s">
        <v>1467</v>
      </c>
      <c r="E447" t="str">
        <f>_xlfn.IFNA(INDEX(RETAIL__29[Nhóm KH], MATCH(DS_Khach_hang[[#This Row],[TÀI KHOẢN LƯU KÝ]], RETAIL__29[Số TK lưu ký KH], 0)) &amp; "", "")</f>
        <v>Standard</v>
      </c>
      <c r="F447" t="str">
        <f>_xlfn.IFNA(INDEX(RETAIL__29[Loại TK], MATCH(DS_Khach_hang[[#This Row],[TÀI KHOẢN LƯU KÝ]], RETAIL__29[Số TK lưu ký KH], 0)) &amp; "", "")</f>
        <v>RETAIL</v>
      </c>
    </row>
    <row r="448" spans="1:6" hidden="1" x14ac:dyDescent="0.25">
      <c r="A448" t="s">
        <v>224</v>
      </c>
      <c r="B448" t="s">
        <v>263</v>
      </c>
      <c r="C448" t="s">
        <v>264</v>
      </c>
      <c r="D448" t="s">
        <v>1468</v>
      </c>
      <c r="E448" t="s">
        <v>936</v>
      </c>
      <c r="F448" t="s">
        <v>923</v>
      </c>
    </row>
    <row r="449" spans="1:6" hidden="1" x14ac:dyDescent="0.25">
      <c r="A449" t="s">
        <v>224</v>
      </c>
      <c r="B449" t="s">
        <v>263</v>
      </c>
      <c r="C449" t="s">
        <v>264</v>
      </c>
      <c r="D449" t="s">
        <v>1469</v>
      </c>
      <c r="E449" t="s">
        <v>936</v>
      </c>
      <c r="F449" t="s">
        <v>923</v>
      </c>
    </row>
    <row r="450" spans="1:6" hidden="1" x14ac:dyDescent="0.25">
      <c r="A450" t="s">
        <v>224</v>
      </c>
      <c r="B450" t="s">
        <v>270</v>
      </c>
      <c r="C450" t="s">
        <v>271</v>
      </c>
      <c r="D450" t="s">
        <v>1470</v>
      </c>
      <c r="E450" t="s">
        <v>989</v>
      </c>
      <c r="F450" t="s">
        <v>988</v>
      </c>
    </row>
    <row r="451" spans="1:6" hidden="1" x14ac:dyDescent="0.25">
      <c r="A451" t="s">
        <v>224</v>
      </c>
      <c r="B451" t="s">
        <v>270</v>
      </c>
      <c r="C451" t="s">
        <v>271</v>
      </c>
      <c r="D451" t="s">
        <v>1471</v>
      </c>
      <c r="E451" t="s">
        <v>989</v>
      </c>
      <c r="F451" t="s">
        <v>988</v>
      </c>
    </row>
    <row r="452" spans="1:6" hidden="1" x14ac:dyDescent="0.25">
      <c r="A452" t="s">
        <v>224</v>
      </c>
      <c r="B452" t="s">
        <v>289</v>
      </c>
      <c r="C452" t="s">
        <v>290</v>
      </c>
      <c r="D452" t="s">
        <v>1472</v>
      </c>
      <c r="E452" t="s">
        <v>989</v>
      </c>
      <c r="F452" t="s">
        <v>988</v>
      </c>
    </row>
    <row r="453" spans="1:6" hidden="1" x14ac:dyDescent="0.25">
      <c r="A453" t="s">
        <v>224</v>
      </c>
      <c r="B453" t="s">
        <v>289</v>
      </c>
      <c r="C453" t="s">
        <v>290</v>
      </c>
      <c r="D453" t="s">
        <v>1473</v>
      </c>
      <c r="E453" t="s">
        <v>989</v>
      </c>
      <c r="F453" t="s">
        <v>988</v>
      </c>
    </row>
    <row r="454" spans="1:6" hidden="1" x14ac:dyDescent="0.25">
      <c r="A454" t="s">
        <v>224</v>
      </c>
      <c r="B454" t="s">
        <v>906</v>
      </c>
      <c r="C454" t="s">
        <v>907</v>
      </c>
      <c r="D454" t="s">
        <v>1474</v>
      </c>
      <c r="E454" t="str">
        <f>_xlfn.IFNA(INDEX(RETAIL__29[Nhóm KH], MATCH(DS_Khach_hang[[#This Row],[TÀI KHOẢN LƯU KÝ]], RETAIL__29[Số TK lưu ký KH], 0)) &amp; "", "")</f>
        <v>Standard</v>
      </c>
      <c r="F454" t="str">
        <f>_xlfn.IFNA(INDEX(RETAIL__29[Loại TK], MATCH(DS_Khach_hang[[#This Row],[TÀI KHOẢN LƯU KÝ]], RETAIL__29[Số TK lưu ký KH], 0)) &amp; "", "")</f>
        <v>RETAIL</v>
      </c>
    </row>
    <row r="455" spans="1:6" hidden="1" x14ac:dyDescent="0.25">
      <c r="A455" t="s">
        <v>224</v>
      </c>
      <c r="B455" t="s">
        <v>906</v>
      </c>
      <c r="C455" t="s">
        <v>907</v>
      </c>
      <c r="D455" t="s">
        <v>1475</v>
      </c>
      <c r="E455" t="str">
        <f>_xlfn.IFNA(INDEX(RETAIL__29[Nhóm KH], MATCH(DS_Khach_hang[[#This Row],[TÀI KHOẢN LƯU KÝ]], RETAIL__29[Số TK lưu ký KH], 0)) &amp; "", "")</f>
        <v>Standard</v>
      </c>
      <c r="F455" t="str">
        <f>_xlfn.IFNA(INDEX(RETAIL__29[Loại TK], MATCH(DS_Khach_hang[[#This Row],[TÀI KHOẢN LƯU KÝ]], RETAIL__29[Số TK lưu ký KH], 0)) &amp; "", "")</f>
        <v>RETAIL</v>
      </c>
    </row>
    <row r="456" spans="1:6" hidden="1" x14ac:dyDescent="0.25">
      <c r="A456" t="s">
        <v>224</v>
      </c>
      <c r="B456" t="s">
        <v>327</v>
      </c>
      <c r="C456" t="s">
        <v>328</v>
      </c>
      <c r="D456" t="s">
        <v>1476</v>
      </c>
      <c r="E456" t="s">
        <v>989</v>
      </c>
      <c r="F456" t="s">
        <v>988</v>
      </c>
    </row>
    <row r="457" spans="1:6" hidden="1" x14ac:dyDescent="0.25">
      <c r="A457" t="s">
        <v>224</v>
      </c>
      <c r="B457" t="s">
        <v>327</v>
      </c>
      <c r="C457" t="s">
        <v>328</v>
      </c>
      <c r="D457" t="s">
        <v>1477</v>
      </c>
      <c r="E457" t="s">
        <v>989</v>
      </c>
      <c r="F457" t="s">
        <v>988</v>
      </c>
    </row>
    <row r="458" spans="1:6" hidden="1" x14ac:dyDescent="0.25">
      <c r="A458" t="s">
        <v>224</v>
      </c>
      <c r="B458" t="s">
        <v>235</v>
      </c>
      <c r="C458" t="s">
        <v>236</v>
      </c>
      <c r="D458" t="s">
        <v>1478</v>
      </c>
      <c r="E458" t="s">
        <v>989</v>
      </c>
      <c r="F458" t="s">
        <v>988</v>
      </c>
    </row>
    <row r="459" spans="1:6" hidden="1" x14ac:dyDescent="0.25">
      <c r="A459" t="s">
        <v>224</v>
      </c>
      <c r="B459" t="s">
        <v>235</v>
      </c>
      <c r="C459" t="s">
        <v>236</v>
      </c>
      <c r="D459" t="s">
        <v>1479</v>
      </c>
      <c r="E459" t="s">
        <v>989</v>
      </c>
      <c r="F459" t="s">
        <v>988</v>
      </c>
    </row>
    <row r="460" spans="1:6" hidden="1" x14ac:dyDescent="0.25">
      <c r="A460" t="s">
        <v>224</v>
      </c>
      <c r="B460" t="s">
        <v>364</v>
      </c>
      <c r="C460" t="s">
        <v>365</v>
      </c>
      <c r="D460" t="s">
        <v>1480</v>
      </c>
      <c r="E460" t="s">
        <v>943</v>
      </c>
      <c r="F460" t="s">
        <v>923</v>
      </c>
    </row>
    <row r="461" spans="1:6" hidden="1" x14ac:dyDescent="0.25">
      <c r="A461" t="s">
        <v>224</v>
      </c>
      <c r="B461" t="s">
        <v>364</v>
      </c>
      <c r="C461" t="s">
        <v>365</v>
      </c>
      <c r="D461" t="s">
        <v>1481</v>
      </c>
      <c r="E461" t="s">
        <v>943</v>
      </c>
      <c r="F461" t="s">
        <v>923</v>
      </c>
    </row>
    <row r="462" spans="1:6" hidden="1" x14ac:dyDescent="0.25">
      <c r="A462" t="s">
        <v>224</v>
      </c>
      <c r="B462" t="s">
        <v>272</v>
      </c>
      <c r="C462" t="s">
        <v>273</v>
      </c>
      <c r="D462" t="s">
        <v>1482</v>
      </c>
      <c r="E462" t="s">
        <v>989</v>
      </c>
      <c r="F462" t="s">
        <v>988</v>
      </c>
    </row>
    <row r="463" spans="1:6" hidden="1" x14ac:dyDescent="0.25">
      <c r="A463" t="s">
        <v>224</v>
      </c>
      <c r="B463" t="s">
        <v>272</v>
      </c>
      <c r="C463" t="s">
        <v>273</v>
      </c>
      <c r="D463" t="s">
        <v>1483</v>
      </c>
      <c r="E463" t="s">
        <v>989</v>
      </c>
      <c r="F463" t="s">
        <v>988</v>
      </c>
    </row>
    <row r="464" spans="1:6" hidden="1" x14ac:dyDescent="0.25">
      <c r="A464" t="s">
        <v>224</v>
      </c>
      <c r="B464" t="s">
        <v>331</v>
      </c>
      <c r="C464" t="s">
        <v>332</v>
      </c>
      <c r="D464" t="s">
        <v>1484</v>
      </c>
      <c r="E464" t="s">
        <v>989</v>
      </c>
      <c r="F464" t="s">
        <v>988</v>
      </c>
    </row>
    <row r="465" spans="1:6" hidden="1" x14ac:dyDescent="0.25">
      <c r="A465" t="s">
        <v>224</v>
      </c>
      <c r="B465" t="s">
        <v>331</v>
      </c>
      <c r="C465" t="s">
        <v>332</v>
      </c>
      <c r="D465" t="s">
        <v>1485</v>
      </c>
      <c r="E465" t="s">
        <v>989</v>
      </c>
      <c r="F465" t="s">
        <v>988</v>
      </c>
    </row>
    <row r="466" spans="1:6" hidden="1" x14ac:dyDescent="0.25">
      <c r="A466" t="s">
        <v>224</v>
      </c>
      <c r="B466" t="s">
        <v>372</v>
      </c>
      <c r="C466" t="s">
        <v>373</v>
      </c>
      <c r="D466" t="s">
        <v>1486</v>
      </c>
      <c r="E466" t="s">
        <v>925</v>
      </c>
      <c r="F466" t="s">
        <v>923</v>
      </c>
    </row>
    <row r="467" spans="1:6" hidden="1" x14ac:dyDescent="0.25">
      <c r="A467" t="s">
        <v>224</v>
      </c>
      <c r="B467" t="s">
        <v>372</v>
      </c>
      <c r="C467" t="s">
        <v>373</v>
      </c>
      <c r="D467" t="s">
        <v>1487</v>
      </c>
      <c r="E467" t="s">
        <v>925</v>
      </c>
      <c r="F467" t="s">
        <v>923</v>
      </c>
    </row>
    <row r="468" spans="1:6" hidden="1" x14ac:dyDescent="0.25">
      <c r="A468" t="s">
        <v>713</v>
      </c>
      <c r="B468" t="s">
        <v>711</v>
      </c>
      <c r="C468" t="s">
        <v>712</v>
      </c>
      <c r="D468" t="s">
        <v>1488</v>
      </c>
      <c r="E468" t="str">
        <f>_xlfn.IFNA(INDEX(RETAIL__29[Nhóm KH], MATCH(DS_Khach_hang[[#This Row],[TÀI KHOẢN LƯU KÝ]], RETAIL__29[Số TK lưu ký KH], 0)) &amp; "", "")</f>
        <v>Standard</v>
      </c>
      <c r="F468" t="str">
        <f>_xlfn.IFNA(INDEX(RETAIL__29[Loại TK], MATCH(DS_Khach_hang[[#This Row],[TÀI KHOẢN LƯU KÝ]], RETAIL__29[Số TK lưu ký KH], 0)) &amp; "", "")</f>
        <v>RETAIL</v>
      </c>
    </row>
    <row r="469" spans="1:6" hidden="1" x14ac:dyDescent="0.25">
      <c r="A469" t="s">
        <v>713</v>
      </c>
      <c r="B469" t="s">
        <v>711</v>
      </c>
      <c r="C469" t="s">
        <v>712</v>
      </c>
      <c r="D469" t="s">
        <v>1489</v>
      </c>
      <c r="E469" t="str">
        <f>_xlfn.IFNA(INDEX(RETAIL__29[Nhóm KH], MATCH(DS_Khach_hang[[#This Row],[TÀI KHOẢN LƯU KÝ]], RETAIL__29[Số TK lưu ký KH], 0)) &amp; "", "")</f>
        <v>Standard</v>
      </c>
      <c r="F469" t="str">
        <f>_xlfn.IFNA(INDEX(RETAIL__29[Loại TK], MATCH(DS_Khach_hang[[#This Row],[TÀI KHOẢN LƯU KÝ]], RETAIL__29[Số TK lưu ký KH], 0)) &amp; "", "")</f>
        <v>RETAIL</v>
      </c>
    </row>
    <row r="470" spans="1:6" hidden="1" x14ac:dyDescent="0.25">
      <c r="A470" t="s">
        <v>713</v>
      </c>
      <c r="B470" t="s">
        <v>718</v>
      </c>
      <c r="C470" t="s">
        <v>719</v>
      </c>
      <c r="D470" t="s">
        <v>1490</v>
      </c>
      <c r="E470" t="str">
        <f>_xlfn.IFNA(INDEX(RETAIL__29[Nhóm KH], MATCH(DS_Khach_hang[[#This Row],[TÀI KHOẢN LƯU KÝ]], RETAIL__29[Số TK lưu ký KH], 0)) &amp; "", "")</f>
        <v>Standard</v>
      </c>
      <c r="F470" t="str">
        <f>_xlfn.IFNA(INDEX(RETAIL__29[Loại TK], MATCH(DS_Khach_hang[[#This Row],[TÀI KHOẢN LƯU KÝ]], RETAIL__29[Số TK lưu ký KH], 0)) &amp; "", "")</f>
        <v>RETAIL</v>
      </c>
    </row>
    <row r="471" spans="1:6" hidden="1" x14ac:dyDescent="0.25">
      <c r="A471" t="s">
        <v>713</v>
      </c>
      <c r="B471" t="s">
        <v>718</v>
      </c>
      <c r="C471" t="s">
        <v>719</v>
      </c>
      <c r="D471" t="s">
        <v>1491</v>
      </c>
      <c r="E471" t="str">
        <f>_xlfn.IFNA(INDEX(RETAIL__29[Nhóm KH], MATCH(DS_Khach_hang[[#This Row],[TÀI KHOẢN LƯU KÝ]], RETAIL__29[Số TK lưu ký KH], 0)) &amp; "", "")</f>
        <v>Standard</v>
      </c>
      <c r="F471" t="str">
        <f>_xlfn.IFNA(INDEX(RETAIL__29[Loại TK], MATCH(DS_Khach_hang[[#This Row],[TÀI KHOẢN LƯU KÝ]], RETAIL__29[Số TK lưu ký KH], 0)) &amp; "", "")</f>
        <v>RETAIL</v>
      </c>
    </row>
    <row r="472" spans="1:6" hidden="1" x14ac:dyDescent="0.25">
      <c r="A472" t="s">
        <v>713</v>
      </c>
      <c r="B472" t="s">
        <v>720</v>
      </c>
      <c r="C472" t="s">
        <v>721</v>
      </c>
      <c r="D472" t="s">
        <v>1492</v>
      </c>
      <c r="E472" t="str">
        <f>_xlfn.IFNA(INDEX(RETAIL__29[Nhóm KH], MATCH(DS_Khach_hang[[#This Row],[TÀI KHOẢN LƯU KÝ]], RETAIL__29[Số TK lưu ký KH], 0)) &amp; "", "")</f>
        <v>Standard</v>
      </c>
      <c r="F472" t="str">
        <f>_xlfn.IFNA(INDEX(RETAIL__29[Loại TK], MATCH(DS_Khach_hang[[#This Row],[TÀI KHOẢN LƯU KÝ]], RETAIL__29[Số TK lưu ký KH], 0)) &amp; "", "")</f>
        <v>RETAIL</v>
      </c>
    </row>
    <row r="473" spans="1:6" hidden="1" x14ac:dyDescent="0.25">
      <c r="A473" t="s">
        <v>713</v>
      </c>
      <c r="B473" t="s">
        <v>720</v>
      </c>
      <c r="C473" t="s">
        <v>721</v>
      </c>
      <c r="D473" t="s">
        <v>1493</v>
      </c>
      <c r="E473" t="str">
        <f>_xlfn.IFNA(INDEX(RETAIL__29[Nhóm KH], MATCH(DS_Khach_hang[[#This Row],[TÀI KHOẢN LƯU KÝ]], RETAIL__29[Số TK lưu ký KH], 0)) &amp; "", "")</f>
        <v>Standard</v>
      </c>
      <c r="F473" t="str">
        <f>_xlfn.IFNA(INDEX(RETAIL__29[Loại TK], MATCH(DS_Khach_hang[[#This Row],[TÀI KHOẢN LƯU KÝ]], RETAIL__29[Số TK lưu ký KH], 0)) &amp; "", "")</f>
        <v>RETAIL</v>
      </c>
    </row>
    <row r="474" spans="1:6" hidden="1" x14ac:dyDescent="0.25">
      <c r="A474" t="s">
        <v>713</v>
      </c>
      <c r="B474" t="s">
        <v>734</v>
      </c>
      <c r="C474" t="s">
        <v>735</v>
      </c>
      <c r="D474" t="s">
        <v>1494</v>
      </c>
      <c r="E474" t="str">
        <f>_xlfn.IFNA(INDEX(RETAIL__29[Nhóm KH], MATCH(DS_Khach_hang[[#This Row],[TÀI KHOẢN LƯU KÝ]], RETAIL__29[Số TK lưu ký KH], 0)) &amp; "", "")</f>
        <v>Standard</v>
      </c>
      <c r="F474" t="str">
        <f>_xlfn.IFNA(INDEX(RETAIL__29[Loại TK], MATCH(DS_Khach_hang[[#This Row],[TÀI KHOẢN LƯU KÝ]], RETAIL__29[Số TK lưu ký KH], 0)) &amp; "", "")</f>
        <v>RETAIL</v>
      </c>
    </row>
    <row r="475" spans="1:6" hidden="1" x14ac:dyDescent="0.25">
      <c r="A475" t="s">
        <v>713</v>
      </c>
      <c r="B475" t="s">
        <v>734</v>
      </c>
      <c r="C475" t="s">
        <v>735</v>
      </c>
      <c r="D475" t="s">
        <v>1495</v>
      </c>
      <c r="E475" t="str">
        <f>_xlfn.IFNA(INDEX(RETAIL__29[Nhóm KH], MATCH(DS_Khach_hang[[#This Row],[TÀI KHOẢN LƯU KÝ]], RETAIL__29[Số TK lưu ký KH], 0)) &amp; "", "")</f>
        <v>Standard</v>
      </c>
      <c r="F475" t="str">
        <f>_xlfn.IFNA(INDEX(RETAIL__29[Loại TK], MATCH(DS_Khach_hang[[#This Row],[TÀI KHOẢN LƯU KÝ]], RETAIL__29[Số TK lưu ký KH], 0)) &amp; "", "")</f>
        <v>RETAIL</v>
      </c>
    </row>
    <row r="476" spans="1:6" hidden="1" x14ac:dyDescent="0.25">
      <c r="A476" t="s">
        <v>713</v>
      </c>
      <c r="B476" t="s">
        <v>740</v>
      </c>
      <c r="C476" t="s">
        <v>741</v>
      </c>
      <c r="D476" t="s">
        <v>1496</v>
      </c>
      <c r="E476" t="str">
        <f>_xlfn.IFNA(INDEX(RETAIL__29[Nhóm KH], MATCH(DS_Khach_hang[[#This Row],[TÀI KHOẢN LƯU KÝ]], RETAIL__29[Số TK lưu ký KH], 0)) &amp; "", "")</f>
        <v>Standard</v>
      </c>
      <c r="F476" t="str">
        <f>_xlfn.IFNA(INDEX(RETAIL__29[Loại TK], MATCH(DS_Khach_hang[[#This Row],[TÀI KHOẢN LƯU KÝ]], RETAIL__29[Số TK lưu ký KH], 0)) &amp; "", "")</f>
        <v>RETAIL</v>
      </c>
    </row>
    <row r="477" spans="1:6" hidden="1" x14ac:dyDescent="0.25">
      <c r="A477" t="s">
        <v>713</v>
      </c>
      <c r="B477" t="s">
        <v>740</v>
      </c>
      <c r="C477" t="s">
        <v>741</v>
      </c>
      <c r="D477" t="s">
        <v>1497</v>
      </c>
      <c r="E477" t="str">
        <f>_xlfn.IFNA(INDEX(RETAIL__29[Nhóm KH], MATCH(DS_Khach_hang[[#This Row],[TÀI KHOẢN LƯU KÝ]], RETAIL__29[Số TK lưu ký KH], 0)) &amp; "", "")</f>
        <v>Standard</v>
      </c>
      <c r="F477" t="str">
        <f>_xlfn.IFNA(INDEX(RETAIL__29[Loại TK], MATCH(DS_Khach_hang[[#This Row],[TÀI KHOẢN LƯU KÝ]], RETAIL__29[Số TK lưu ký KH], 0)) &amp; "", "")</f>
        <v>RETAIL</v>
      </c>
    </row>
    <row r="478" spans="1:6" hidden="1" x14ac:dyDescent="0.25">
      <c r="A478" t="s">
        <v>713</v>
      </c>
      <c r="B478" t="s">
        <v>744</v>
      </c>
      <c r="C478" t="s">
        <v>745</v>
      </c>
      <c r="D478" t="s">
        <v>1498</v>
      </c>
      <c r="E478" t="str">
        <f>_xlfn.IFNA(INDEX(RETAIL__29[Nhóm KH], MATCH(DS_Khach_hang[[#This Row],[TÀI KHOẢN LƯU KÝ]], RETAIL__29[Số TK lưu ký KH], 0)) &amp; "", "")</f>
        <v>Standard</v>
      </c>
      <c r="F478" t="str">
        <f>_xlfn.IFNA(INDEX(RETAIL__29[Loại TK], MATCH(DS_Khach_hang[[#This Row],[TÀI KHOẢN LƯU KÝ]], RETAIL__29[Số TK lưu ký KH], 0)) &amp; "", "")</f>
        <v>RETAIL</v>
      </c>
    </row>
    <row r="479" spans="1:6" hidden="1" x14ac:dyDescent="0.25">
      <c r="A479" t="s">
        <v>713</v>
      </c>
      <c r="B479" t="s">
        <v>744</v>
      </c>
      <c r="C479" t="s">
        <v>745</v>
      </c>
      <c r="D479" t="s">
        <v>1499</v>
      </c>
      <c r="E479" t="str">
        <f>_xlfn.IFNA(INDEX(RETAIL__29[Nhóm KH], MATCH(DS_Khach_hang[[#This Row],[TÀI KHOẢN LƯU KÝ]], RETAIL__29[Số TK lưu ký KH], 0)) &amp; "", "")</f>
        <v>Standard</v>
      </c>
      <c r="F479" t="str">
        <f>_xlfn.IFNA(INDEX(RETAIL__29[Loại TK], MATCH(DS_Khach_hang[[#This Row],[TÀI KHOẢN LƯU KÝ]], RETAIL__29[Số TK lưu ký KH], 0)) &amp; "", "")</f>
        <v>RETAIL</v>
      </c>
    </row>
    <row r="480" spans="1:6" hidden="1" x14ac:dyDescent="0.25">
      <c r="A480" t="s">
        <v>713</v>
      </c>
      <c r="B480" t="s">
        <v>746</v>
      </c>
      <c r="C480" t="s">
        <v>747</v>
      </c>
      <c r="D480" t="s">
        <v>1500</v>
      </c>
      <c r="E480" t="str">
        <f>_xlfn.IFNA(INDEX(RETAIL__29[Nhóm KH], MATCH(DS_Khach_hang[[#This Row],[TÀI KHOẢN LƯU KÝ]], RETAIL__29[Số TK lưu ký KH], 0)) &amp; "", "")</f>
        <v>Standard</v>
      </c>
      <c r="F480" t="str">
        <f>_xlfn.IFNA(INDEX(RETAIL__29[Loại TK], MATCH(DS_Khach_hang[[#This Row],[TÀI KHOẢN LƯU KÝ]], RETAIL__29[Số TK lưu ký KH], 0)) &amp; "", "")</f>
        <v>RETAIL</v>
      </c>
    </row>
    <row r="481" spans="1:6" hidden="1" x14ac:dyDescent="0.25">
      <c r="A481" t="s">
        <v>713</v>
      </c>
      <c r="B481" t="s">
        <v>746</v>
      </c>
      <c r="C481" t="s">
        <v>747</v>
      </c>
      <c r="D481" t="s">
        <v>1501</v>
      </c>
      <c r="E481" t="str">
        <f>_xlfn.IFNA(INDEX(RETAIL__29[Nhóm KH], MATCH(DS_Khach_hang[[#This Row],[TÀI KHOẢN LƯU KÝ]], RETAIL__29[Số TK lưu ký KH], 0)) &amp; "", "")</f>
        <v>Standard</v>
      </c>
      <c r="F481" t="str">
        <f>_xlfn.IFNA(INDEX(RETAIL__29[Loại TK], MATCH(DS_Khach_hang[[#This Row],[TÀI KHOẢN LƯU KÝ]], RETAIL__29[Số TK lưu ký KH], 0)) &amp; "", "")</f>
        <v>RETAIL</v>
      </c>
    </row>
    <row r="482" spans="1:6" hidden="1" x14ac:dyDescent="0.25">
      <c r="A482" t="s">
        <v>713</v>
      </c>
      <c r="B482" t="s">
        <v>829</v>
      </c>
      <c r="C482" t="s">
        <v>830</v>
      </c>
      <c r="D482" t="s">
        <v>1502</v>
      </c>
      <c r="E482" t="str">
        <f>_xlfn.IFNA(INDEX(RETAIL__29[Nhóm KH], MATCH(DS_Khach_hang[[#This Row],[TÀI KHOẢN LƯU KÝ]], RETAIL__29[Số TK lưu ký KH], 0)) &amp; "", "")</f>
        <v>Standard</v>
      </c>
      <c r="F482" t="str">
        <f>_xlfn.IFNA(INDEX(RETAIL__29[Loại TK], MATCH(DS_Khach_hang[[#This Row],[TÀI KHOẢN LƯU KÝ]], RETAIL__29[Số TK lưu ký KH], 0)) &amp; "", "")</f>
        <v>RETAIL</v>
      </c>
    </row>
    <row r="483" spans="1:6" hidden="1" x14ac:dyDescent="0.25">
      <c r="A483" t="s">
        <v>713</v>
      </c>
      <c r="B483" t="s">
        <v>829</v>
      </c>
      <c r="C483" t="s">
        <v>830</v>
      </c>
      <c r="D483" t="s">
        <v>1503</v>
      </c>
      <c r="E483" t="str">
        <f>_xlfn.IFNA(INDEX(RETAIL__29[Nhóm KH], MATCH(DS_Khach_hang[[#This Row],[TÀI KHOẢN LƯU KÝ]], RETAIL__29[Số TK lưu ký KH], 0)) &amp; "", "")</f>
        <v>Standard</v>
      </c>
      <c r="F483" t="str">
        <f>_xlfn.IFNA(INDEX(RETAIL__29[Loại TK], MATCH(DS_Khach_hang[[#This Row],[TÀI KHOẢN LƯU KÝ]], RETAIL__29[Số TK lưu ký KH], 0)) &amp; "", "")</f>
        <v>RETAIL</v>
      </c>
    </row>
    <row r="484" spans="1:6" hidden="1" x14ac:dyDescent="0.25">
      <c r="A484" t="s">
        <v>713</v>
      </c>
      <c r="B484" t="s">
        <v>867</v>
      </c>
      <c r="C484" t="s">
        <v>868</v>
      </c>
      <c r="D484" t="s">
        <v>1504</v>
      </c>
      <c r="E484" t="str">
        <f>_xlfn.IFNA(INDEX(RETAIL__29[Nhóm KH], MATCH(DS_Khach_hang[[#This Row],[TÀI KHOẢN LƯU KÝ]], RETAIL__29[Số TK lưu ký KH], 0)) &amp; "", "")</f>
        <v>Standard</v>
      </c>
      <c r="F484" t="str">
        <f>_xlfn.IFNA(INDEX(RETAIL__29[Loại TK], MATCH(DS_Khach_hang[[#This Row],[TÀI KHOẢN LƯU KÝ]], RETAIL__29[Số TK lưu ký KH], 0)) &amp; "", "")</f>
        <v>RETAIL</v>
      </c>
    </row>
    <row r="485" spans="1:6" hidden="1" x14ac:dyDescent="0.25">
      <c r="A485" t="s">
        <v>713</v>
      </c>
      <c r="B485" t="s">
        <v>867</v>
      </c>
      <c r="C485" t="s">
        <v>868</v>
      </c>
      <c r="D485" t="s">
        <v>1505</v>
      </c>
      <c r="E485" t="str">
        <f>_xlfn.IFNA(INDEX(RETAIL__29[Nhóm KH], MATCH(DS_Khach_hang[[#This Row],[TÀI KHOẢN LƯU KÝ]], RETAIL__29[Số TK lưu ký KH], 0)) &amp; "", "")</f>
        <v>Standard</v>
      </c>
      <c r="F485" t="str">
        <f>_xlfn.IFNA(INDEX(RETAIL__29[Loại TK], MATCH(DS_Khach_hang[[#This Row],[TÀI KHOẢN LƯU KÝ]], RETAIL__29[Số TK lưu ký KH], 0)) &amp; "", "")</f>
        <v>RETAIL</v>
      </c>
    </row>
    <row r="486" spans="1:6" hidden="1" x14ac:dyDescent="0.25">
      <c r="A486" t="s">
        <v>713</v>
      </c>
      <c r="B486" t="s">
        <v>869</v>
      </c>
      <c r="C486" t="s">
        <v>870</v>
      </c>
      <c r="D486" t="s">
        <v>1506</v>
      </c>
      <c r="E486" t="str">
        <f>_xlfn.IFNA(INDEX(RETAIL__29[Nhóm KH], MATCH(DS_Khach_hang[[#This Row],[TÀI KHOẢN LƯU KÝ]], RETAIL__29[Số TK lưu ký KH], 0)) &amp; "", "")</f>
        <v>Standard</v>
      </c>
      <c r="F486" t="str">
        <f>_xlfn.IFNA(INDEX(RETAIL__29[Loại TK], MATCH(DS_Khach_hang[[#This Row],[TÀI KHOẢN LƯU KÝ]], RETAIL__29[Số TK lưu ký KH], 0)) &amp; "", "")</f>
        <v>RETAIL</v>
      </c>
    </row>
    <row r="487" spans="1:6" hidden="1" x14ac:dyDescent="0.25">
      <c r="A487" t="s">
        <v>713</v>
      </c>
      <c r="B487" t="s">
        <v>869</v>
      </c>
      <c r="C487" t="s">
        <v>870</v>
      </c>
      <c r="D487" t="s">
        <v>1507</v>
      </c>
      <c r="E487" t="str">
        <f>_xlfn.IFNA(INDEX(RETAIL__29[Nhóm KH], MATCH(DS_Khach_hang[[#This Row],[TÀI KHOẢN LƯU KÝ]], RETAIL__29[Số TK lưu ký KH], 0)) &amp; "", "")</f>
        <v>Standard</v>
      </c>
      <c r="F487" t="str">
        <f>_xlfn.IFNA(INDEX(RETAIL__29[Loại TK], MATCH(DS_Khach_hang[[#This Row],[TÀI KHOẢN LƯU KÝ]], RETAIL__29[Số TK lưu ký KH], 0)) &amp; "", "")</f>
        <v>RETAIL</v>
      </c>
    </row>
    <row r="488" spans="1:6" hidden="1" x14ac:dyDescent="0.25">
      <c r="A488" t="s">
        <v>651</v>
      </c>
      <c r="B488" t="s">
        <v>764</v>
      </c>
      <c r="C488" t="s">
        <v>765</v>
      </c>
      <c r="D488" t="s">
        <v>1508</v>
      </c>
      <c r="E488" t="str">
        <f>_xlfn.IFNA(INDEX(RETAIL__29[Nhóm KH], MATCH(DS_Khach_hang[[#This Row],[TÀI KHOẢN LƯU KÝ]], RETAIL__29[Số TK lưu ký KH], 0)) &amp; "", "")</f>
        <v>VIP</v>
      </c>
      <c r="F488" t="str">
        <f>_xlfn.IFNA(INDEX(RETAIL__29[Loại TK], MATCH(DS_Khach_hang[[#This Row],[TÀI KHOẢN LƯU KÝ]], RETAIL__29[Số TK lưu ký KH], 0)) &amp; "", "")</f>
        <v>RETAIL</v>
      </c>
    </row>
    <row r="489" spans="1:6" hidden="1" x14ac:dyDescent="0.25">
      <c r="A489" t="s">
        <v>651</v>
      </c>
      <c r="B489" t="s">
        <v>764</v>
      </c>
      <c r="C489" t="s">
        <v>765</v>
      </c>
      <c r="D489" t="s">
        <v>1509</v>
      </c>
      <c r="E489" t="str">
        <f>_xlfn.IFNA(INDEX(RETAIL__29[Nhóm KH], MATCH(DS_Khach_hang[[#This Row],[TÀI KHOẢN LƯU KÝ]], RETAIL__29[Số TK lưu ký KH], 0)) &amp; "", "")</f>
        <v>VIP</v>
      </c>
      <c r="F489" t="str">
        <f>_xlfn.IFNA(INDEX(RETAIL__29[Loại TK], MATCH(DS_Khach_hang[[#This Row],[TÀI KHOẢN LƯU KÝ]], RETAIL__29[Số TK lưu ký KH], 0)) &amp; "", "")</f>
        <v>RETAIL</v>
      </c>
    </row>
    <row r="490" spans="1:6" hidden="1" x14ac:dyDescent="0.25">
      <c r="A490" t="s">
        <v>651</v>
      </c>
      <c r="B490" t="s">
        <v>774</v>
      </c>
      <c r="C490" t="s">
        <v>775</v>
      </c>
      <c r="D490" t="s">
        <v>1510</v>
      </c>
      <c r="E490" t="str">
        <f>_xlfn.IFNA(INDEX(RETAIL__29[Nhóm KH], MATCH(DS_Khach_hang[[#This Row],[TÀI KHOẢN LƯU KÝ]], RETAIL__29[Số TK lưu ký KH], 0)) &amp; "", "")</f>
        <v>VIP</v>
      </c>
      <c r="F490" t="str">
        <f>_xlfn.IFNA(INDEX(RETAIL__29[Loại TK], MATCH(DS_Khach_hang[[#This Row],[TÀI KHOẢN LƯU KÝ]], RETAIL__29[Số TK lưu ký KH], 0)) &amp; "", "")</f>
        <v>RETAIL</v>
      </c>
    </row>
    <row r="491" spans="1:6" hidden="1" x14ac:dyDescent="0.25">
      <c r="A491" t="s">
        <v>651</v>
      </c>
      <c r="B491" t="s">
        <v>774</v>
      </c>
      <c r="C491" t="s">
        <v>775</v>
      </c>
      <c r="D491" t="s">
        <v>1511</v>
      </c>
      <c r="E491" t="str">
        <f>_xlfn.IFNA(INDEX(RETAIL__29[Nhóm KH], MATCH(DS_Khach_hang[[#This Row],[TÀI KHOẢN LƯU KÝ]], RETAIL__29[Số TK lưu ký KH], 0)) &amp; "", "")</f>
        <v>VIP</v>
      </c>
      <c r="F491" t="str">
        <f>_xlfn.IFNA(INDEX(RETAIL__29[Loại TK], MATCH(DS_Khach_hang[[#This Row],[TÀI KHOẢN LƯU KÝ]], RETAIL__29[Số TK lưu ký KH], 0)) &amp; "", "")</f>
        <v>RETAIL</v>
      </c>
    </row>
    <row r="492" spans="1:6" hidden="1" x14ac:dyDescent="0.25">
      <c r="A492" t="s">
        <v>651</v>
      </c>
      <c r="B492" t="s">
        <v>819</v>
      </c>
      <c r="C492" t="s">
        <v>820</v>
      </c>
      <c r="D492" t="s">
        <v>1512</v>
      </c>
      <c r="E492" t="str">
        <f>_xlfn.IFNA(INDEX(RETAIL__29[Nhóm KH], MATCH(DS_Khach_hang[[#This Row],[TÀI KHOẢN LƯU KÝ]], RETAIL__29[Số TK lưu ký KH], 0)) &amp; "", "")</f>
        <v>VIP</v>
      </c>
      <c r="F492" t="str">
        <f>_xlfn.IFNA(INDEX(RETAIL__29[Loại TK], MATCH(DS_Khach_hang[[#This Row],[TÀI KHOẢN LƯU KÝ]], RETAIL__29[Số TK lưu ký KH], 0)) &amp; "", "")</f>
        <v>RETAIL</v>
      </c>
    </row>
    <row r="493" spans="1:6" hidden="1" x14ac:dyDescent="0.25">
      <c r="A493" t="s">
        <v>651</v>
      </c>
      <c r="B493" t="s">
        <v>819</v>
      </c>
      <c r="C493" t="s">
        <v>820</v>
      </c>
      <c r="D493" t="s">
        <v>1513</v>
      </c>
      <c r="E493" t="str">
        <f>_xlfn.IFNA(INDEX(RETAIL__29[Nhóm KH], MATCH(DS_Khach_hang[[#This Row],[TÀI KHOẢN LƯU KÝ]], RETAIL__29[Số TK lưu ký KH], 0)) &amp; "", "")</f>
        <v>VIP</v>
      </c>
      <c r="F493" t="str">
        <f>_xlfn.IFNA(INDEX(RETAIL__29[Loại TK], MATCH(DS_Khach_hang[[#This Row],[TÀI KHOẢN LƯU KÝ]], RETAIL__29[Số TK lưu ký KH], 0)) &amp; "", "")</f>
        <v>RETAIL</v>
      </c>
    </row>
    <row r="494" spans="1:6" hidden="1" x14ac:dyDescent="0.25">
      <c r="A494" t="s">
        <v>651</v>
      </c>
      <c r="B494" t="s">
        <v>892</v>
      </c>
      <c r="C494" t="s">
        <v>893</v>
      </c>
      <c r="D494" t="s">
        <v>1514</v>
      </c>
      <c r="E494" t="str">
        <f>_xlfn.IFNA(INDEX(RETAIL__29[Nhóm KH], MATCH(DS_Khach_hang[[#This Row],[TÀI KHOẢN LƯU KÝ]], RETAIL__29[Số TK lưu ký KH], 0)) &amp; "", "")</f>
        <v>VIP</v>
      </c>
      <c r="F494" t="str">
        <f>_xlfn.IFNA(INDEX(RETAIL__29[Loại TK], MATCH(DS_Khach_hang[[#This Row],[TÀI KHOẢN LƯU KÝ]], RETAIL__29[Số TK lưu ký KH], 0)) &amp; "", "")</f>
        <v>RETAIL</v>
      </c>
    </row>
    <row r="495" spans="1:6" hidden="1" x14ac:dyDescent="0.25">
      <c r="A495" t="s">
        <v>651</v>
      </c>
      <c r="B495" t="s">
        <v>892</v>
      </c>
      <c r="C495" t="s">
        <v>893</v>
      </c>
      <c r="D495" t="s">
        <v>1515</v>
      </c>
      <c r="E495" t="str">
        <f>_xlfn.IFNA(INDEX(RETAIL__29[Nhóm KH], MATCH(DS_Khach_hang[[#This Row],[TÀI KHOẢN LƯU KÝ]], RETAIL__29[Số TK lưu ký KH], 0)) &amp; "", "")</f>
        <v>VIP</v>
      </c>
      <c r="F495" t="str">
        <f>_xlfn.IFNA(INDEX(RETAIL__29[Loại TK], MATCH(DS_Khach_hang[[#This Row],[TÀI KHOẢN LƯU KÝ]], RETAIL__29[Số TK lưu ký KH], 0)) &amp; "", "")</f>
        <v>RETAIL</v>
      </c>
    </row>
    <row r="496" spans="1:6" hidden="1" x14ac:dyDescent="0.25">
      <c r="A496" t="s">
        <v>519</v>
      </c>
      <c r="B496" t="s">
        <v>520</v>
      </c>
      <c r="C496" t="s">
        <v>521</v>
      </c>
      <c r="D496" t="s">
        <v>1516</v>
      </c>
      <c r="E496" t="s">
        <v>989</v>
      </c>
      <c r="F496" t="s">
        <v>988</v>
      </c>
    </row>
    <row r="497" spans="1:6" hidden="1" x14ac:dyDescent="0.25">
      <c r="A497" t="s">
        <v>519</v>
      </c>
      <c r="B497" t="s">
        <v>520</v>
      </c>
      <c r="C497" t="s">
        <v>521</v>
      </c>
      <c r="D497" t="s">
        <v>1517</v>
      </c>
      <c r="E497" t="s">
        <v>989</v>
      </c>
      <c r="F497" t="s">
        <v>988</v>
      </c>
    </row>
    <row r="498" spans="1:6" x14ac:dyDescent="0.25">
      <c r="A498" t="s">
        <v>519</v>
      </c>
      <c r="B498" t="s">
        <v>522</v>
      </c>
      <c r="C498" t="s">
        <v>523</v>
      </c>
      <c r="D498" t="s">
        <v>1518</v>
      </c>
      <c r="E498" t="s">
        <v>1020</v>
      </c>
      <c r="F498" t="s">
        <v>1020</v>
      </c>
    </row>
    <row r="499" spans="1:6" x14ac:dyDescent="0.25">
      <c r="A499" t="s">
        <v>519</v>
      </c>
      <c r="B499" t="s">
        <v>522</v>
      </c>
      <c r="C499" t="s">
        <v>523</v>
      </c>
      <c r="D499" t="s">
        <v>1519</v>
      </c>
      <c r="E499" t="s">
        <v>1020</v>
      </c>
      <c r="F499" t="s">
        <v>1020</v>
      </c>
    </row>
    <row r="500" spans="1:6" x14ac:dyDescent="0.25">
      <c r="A500" t="s">
        <v>519</v>
      </c>
      <c r="B500" t="s">
        <v>524</v>
      </c>
      <c r="C500" t="s">
        <v>525</v>
      </c>
      <c r="D500" t="s">
        <v>1520</v>
      </c>
      <c r="E500" t="s">
        <v>1020</v>
      </c>
      <c r="F500" t="s">
        <v>1020</v>
      </c>
    </row>
    <row r="501" spans="1:6" x14ac:dyDescent="0.25">
      <c r="A501" t="s">
        <v>519</v>
      </c>
      <c r="B501" t="s">
        <v>524</v>
      </c>
      <c r="C501" t="s">
        <v>525</v>
      </c>
      <c r="D501" t="s">
        <v>1521</v>
      </c>
      <c r="E501" t="s">
        <v>1020</v>
      </c>
      <c r="F501" t="s">
        <v>1020</v>
      </c>
    </row>
    <row r="502" spans="1:6" hidden="1" x14ac:dyDescent="0.25">
      <c r="A502" t="s">
        <v>519</v>
      </c>
      <c r="B502" t="s">
        <v>534</v>
      </c>
      <c r="C502" t="s">
        <v>535</v>
      </c>
      <c r="D502" t="s">
        <v>1522</v>
      </c>
      <c r="E502" t="s">
        <v>929</v>
      </c>
      <c r="F502" t="s">
        <v>923</v>
      </c>
    </row>
    <row r="503" spans="1:6" hidden="1" x14ac:dyDescent="0.25">
      <c r="A503" t="s">
        <v>519</v>
      </c>
      <c r="B503" t="s">
        <v>534</v>
      </c>
      <c r="C503" t="s">
        <v>535</v>
      </c>
      <c r="D503" t="s">
        <v>1523</v>
      </c>
      <c r="E503" t="s">
        <v>929</v>
      </c>
      <c r="F503" t="s">
        <v>923</v>
      </c>
    </row>
    <row r="504" spans="1:6" hidden="1" x14ac:dyDescent="0.25">
      <c r="A504" t="s">
        <v>519</v>
      </c>
      <c r="B504" t="s">
        <v>538</v>
      </c>
      <c r="C504" t="s">
        <v>539</v>
      </c>
      <c r="D504" t="s">
        <v>1524</v>
      </c>
      <c r="E504" t="s">
        <v>983</v>
      </c>
      <c r="F504" t="s">
        <v>923</v>
      </c>
    </row>
    <row r="505" spans="1:6" hidden="1" x14ac:dyDescent="0.25">
      <c r="A505" t="s">
        <v>519</v>
      </c>
      <c r="B505" t="s">
        <v>538</v>
      </c>
      <c r="C505" t="s">
        <v>539</v>
      </c>
      <c r="D505" t="s">
        <v>1525</v>
      </c>
      <c r="E505" t="s">
        <v>983</v>
      </c>
      <c r="F505" t="s">
        <v>923</v>
      </c>
    </row>
    <row r="506" spans="1:6" hidden="1" x14ac:dyDescent="0.25">
      <c r="A506" t="s">
        <v>519</v>
      </c>
      <c r="B506" t="s">
        <v>526</v>
      </c>
      <c r="C506" t="s">
        <v>527</v>
      </c>
      <c r="D506" t="s">
        <v>1526</v>
      </c>
      <c r="E506" t="s">
        <v>989</v>
      </c>
      <c r="F506" t="s">
        <v>988</v>
      </c>
    </row>
    <row r="507" spans="1:6" hidden="1" x14ac:dyDescent="0.25">
      <c r="A507" t="s">
        <v>519</v>
      </c>
      <c r="B507" t="s">
        <v>526</v>
      </c>
      <c r="C507" t="s">
        <v>527</v>
      </c>
      <c r="D507" t="s">
        <v>1527</v>
      </c>
      <c r="E507" t="s">
        <v>989</v>
      </c>
      <c r="F507" t="s">
        <v>988</v>
      </c>
    </row>
    <row r="508" spans="1:6" hidden="1" x14ac:dyDescent="0.25">
      <c r="A508" t="s">
        <v>519</v>
      </c>
      <c r="B508" t="s">
        <v>528</v>
      </c>
      <c r="C508" t="s">
        <v>529</v>
      </c>
      <c r="D508" t="s">
        <v>1528</v>
      </c>
      <c r="E508" t="s">
        <v>989</v>
      </c>
      <c r="F508" t="s">
        <v>988</v>
      </c>
    </row>
    <row r="509" spans="1:6" hidden="1" x14ac:dyDescent="0.25">
      <c r="A509" t="s">
        <v>519</v>
      </c>
      <c r="B509" t="s">
        <v>528</v>
      </c>
      <c r="C509" t="s">
        <v>529</v>
      </c>
      <c r="D509" t="s">
        <v>1529</v>
      </c>
      <c r="E509" t="s">
        <v>989</v>
      </c>
      <c r="F509" t="s">
        <v>988</v>
      </c>
    </row>
    <row r="510" spans="1:6" hidden="1" x14ac:dyDescent="0.25">
      <c r="A510" t="s">
        <v>519</v>
      </c>
      <c r="B510" t="s">
        <v>530</v>
      </c>
      <c r="C510" t="s">
        <v>531</v>
      </c>
      <c r="D510" t="s">
        <v>1530</v>
      </c>
      <c r="E510" t="s">
        <v>989</v>
      </c>
      <c r="F510" t="s">
        <v>988</v>
      </c>
    </row>
    <row r="511" spans="1:6" hidden="1" x14ac:dyDescent="0.25">
      <c r="A511" t="s">
        <v>519</v>
      </c>
      <c r="B511" t="s">
        <v>530</v>
      </c>
      <c r="C511" t="s">
        <v>531</v>
      </c>
      <c r="D511" t="s">
        <v>1531</v>
      </c>
      <c r="E511" t="s">
        <v>989</v>
      </c>
      <c r="F511" t="s">
        <v>988</v>
      </c>
    </row>
    <row r="512" spans="1:6" hidden="1" x14ac:dyDescent="0.25">
      <c r="A512" t="s">
        <v>519</v>
      </c>
      <c r="B512" t="s">
        <v>532</v>
      </c>
      <c r="C512" t="s">
        <v>533</v>
      </c>
      <c r="D512" t="s">
        <v>1532</v>
      </c>
      <c r="E512" t="s">
        <v>989</v>
      </c>
      <c r="F512" t="s">
        <v>988</v>
      </c>
    </row>
    <row r="513" spans="1:6" hidden="1" x14ac:dyDescent="0.25">
      <c r="A513" t="s">
        <v>519</v>
      </c>
      <c r="B513" t="s">
        <v>532</v>
      </c>
      <c r="C513" t="s">
        <v>533</v>
      </c>
      <c r="D513" t="s">
        <v>1533</v>
      </c>
      <c r="E513" t="s">
        <v>989</v>
      </c>
      <c r="F513" t="s">
        <v>988</v>
      </c>
    </row>
    <row r="514" spans="1:6" hidden="1" x14ac:dyDescent="0.25">
      <c r="A514" t="s">
        <v>519</v>
      </c>
      <c r="B514" t="s">
        <v>536</v>
      </c>
      <c r="C514" t="s">
        <v>537</v>
      </c>
      <c r="D514" t="s">
        <v>1534</v>
      </c>
      <c r="E514" t="s">
        <v>925</v>
      </c>
      <c r="F514" t="s">
        <v>923</v>
      </c>
    </row>
    <row r="515" spans="1:6" hidden="1" x14ac:dyDescent="0.25">
      <c r="A515" t="s">
        <v>519</v>
      </c>
      <c r="B515" t="s">
        <v>536</v>
      </c>
      <c r="C515" t="s">
        <v>537</v>
      </c>
      <c r="D515" t="s">
        <v>1535</v>
      </c>
      <c r="E515" t="s">
        <v>925</v>
      </c>
      <c r="F515" t="s">
        <v>923</v>
      </c>
    </row>
    <row r="516" spans="1:6" hidden="1" x14ac:dyDescent="0.25">
      <c r="A516" t="s">
        <v>694</v>
      </c>
      <c r="B516" t="s">
        <v>692</v>
      </c>
      <c r="C516" t="s">
        <v>693</v>
      </c>
      <c r="D516" t="s">
        <v>1536</v>
      </c>
      <c r="E516" t="str">
        <f>_xlfn.IFNA(INDEX(RETAIL__29[Nhóm KH], MATCH(DS_Khach_hang[[#This Row],[TÀI KHOẢN LƯU KÝ]], RETAIL__29[Số TK lưu ký KH], 0)) &amp; "", "")</f>
        <v>VIP</v>
      </c>
      <c r="F516" t="str">
        <f>_xlfn.IFNA(INDEX(RETAIL__29[Loại TK], MATCH(DS_Khach_hang[[#This Row],[TÀI KHOẢN LƯU KÝ]], RETAIL__29[Số TK lưu ký KH], 0)) &amp; "", "")</f>
        <v>RETAIL</v>
      </c>
    </row>
    <row r="517" spans="1:6" hidden="1" x14ac:dyDescent="0.25">
      <c r="A517" t="s">
        <v>694</v>
      </c>
      <c r="B517" t="s">
        <v>692</v>
      </c>
      <c r="C517" t="s">
        <v>693</v>
      </c>
      <c r="D517" t="s">
        <v>1537</v>
      </c>
      <c r="E517" t="str">
        <f>_xlfn.IFNA(INDEX(RETAIL__29[Nhóm KH], MATCH(DS_Khach_hang[[#This Row],[TÀI KHOẢN LƯU KÝ]], RETAIL__29[Số TK lưu ký KH], 0)) &amp; "", "")</f>
        <v>VIP</v>
      </c>
      <c r="F517" t="str">
        <f>_xlfn.IFNA(INDEX(RETAIL__29[Loại TK], MATCH(DS_Khach_hang[[#This Row],[TÀI KHOẢN LƯU KÝ]], RETAIL__29[Số TK lưu ký KH], 0)) &amp; "", "")</f>
        <v>RETAIL</v>
      </c>
    </row>
    <row r="518" spans="1:6" hidden="1" x14ac:dyDescent="0.25">
      <c r="A518" t="s">
        <v>694</v>
      </c>
      <c r="B518" t="s">
        <v>839</v>
      </c>
      <c r="C518" t="s">
        <v>840</v>
      </c>
      <c r="D518" t="s">
        <v>1538</v>
      </c>
      <c r="E518" t="str">
        <f>_xlfn.IFNA(INDEX(RETAIL__29[Nhóm KH], MATCH(DS_Khach_hang[[#This Row],[TÀI KHOẢN LƯU KÝ]], RETAIL__29[Số TK lưu ký KH], 0)) &amp; "", "")</f>
        <v>VIP</v>
      </c>
      <c r="F518" t="str">
        <f>_xlfn.IFNA(INDEX(RETAIL__29[Loại TK], MATCH(DS_Khach_hang[[#This Row],[TÀI KHOẢN LƯU KÝ]], RETAIL__29[Số TK lưu ký KH], 0)) &amp; "", "")</f>
        <v>RETAIL</v>
      </c>
    </row>
    <row r="519" spans="1:6" hidden="1" x14ac:dyDescent="0.25">
      <c r="A519" t="s">
        <v>694</v>
      </c>
      <c r="B519" t="s">
        <v>839</v>
      </c>
      <c r="C519" t="s">
        <v>840</v>
      </c>
      <c r="D519" t="s">
        <v>1539</v>
      </c>
      <c r="E519" t="str">
        <f>_xlfn.IFNA(INDEX(RETAIL__29[Nhóm KH], MATCH(DS_Khach_hang[[#This Row],[TÀI KHOẢN LƯU KÝ]], RETAIL__29[Số TK lưu ký KH], 0)) &amp; "", "")</f>
        <v>VIP</v>
      </c>
      <c r="F519" t="str">
        <f>_xlfn.IFNA(INDEX(RETAIL__29[Loại TK], MATCH(DS_Khach_hang[[#This Row],[TÀI KHOẢN LƯU KÝ]], RETAIL__29[Số TK lưu ký KH], 0)) &amp; "", "")</f>
        <v>RETAIL</v>
      </c>
    </row>
    <row r="520" spans="1:6" hidden="1" x14ac:dyDescent="0.25">
      <c r="A520" t="s">
        <v>694</v>
      </c>
      <c r="B520" t="s">
        <v>873</v>
      </c>
      <c r="C520" t="s">
        <v>874</v>
      </c>
      <c r="D520" t="s">
        <v>1540</v>
      </c>
      <c r="E520" t="str">
        <f>_xlfn.IFNA(INDEX(RETAIL__29[Nhóm KH], MATCH(DS_Khach_hang[[#This Row],[TÀI KHOẢN LƯU KÝ]], RETAIL__29[Số TK lưu ký KH], 0)) &amp; "", "")</f>
        <v>Standard</v>
      </c>
      <c r="F520" t="str">
        <f>_xlfn.IFNA(INDEX(RETAIL__29[Loại TK], MATCH(DS_Khach_hang[[#This Row],[TÀI KHOẢN LƯU KÝ]], RETAIL__29[Số TK lưu ký KH], 0)) &amp; "", "")</f>
        <v>RETAIL</v>
      </c>
    </row>
    <row r="521" spans="1:6" hidden="1" x14ac:dyDescent="0.25">
      <c r="A521" t="s">
        <v>694</v>
      </c>
      <c r="B521" t="s">
        <v>873</v>
      </c>
      <c r="C521" t="s">
        <v>874</v>
      </c>
      <c r="D521" t="s">
        <v>1541</v>
      </c>
      <c r="E521" t="str">
        <f>_xlfn.IFNA(INDEX(RETAIL__29[Nhóm KH], MATCH(DS_Khach_hang[[#This Row],[TÀI KHOẢN LƯU KÝ]], RETAIL__29[Số TK lưu ký KH], 0)) &amp; "", "")</f>
        <v>Standard</v>
      </c>
      <c r="F521" t="str">
        <f>_xlfn.IFNA(INDEX(RETAIL__29[Loại TK], MATCH(DS_Khach_hang[[#This Row],[TÀI KHOẢN LƯU KÝ]], RETAIL__29[Số TK lưu ký KH], 0)) &amp; "", "")</f>
        <v>RETAIL</v>
      </c>
    </row>
    <row r="522" spans="1:6" hidden="1" x14ac:dyDescent="0.25">
      <c r="A522" t="s">
        <v>694</v>
      </c>
      <c r="B522" t="s">
        <v>908</v>
      </c>
      <c r="C522" t="s">
        <v>909</v>
      </c>
      <c r="D522" t="s">
        <v>1542</v>
      </c>
      <c r="E522" t="str">
        <f>_xlfn.IFNA(INDEX(RETAIL__29[Nhóm KH], MATCH(DS_Khach_hang[[#This Row],[TÀI KHOẢN LƯU KÝ]], RETAIL__29[Số TK lưu ký KH], 0)) &amp; "", "")</f>
        <v>VIP</v>
      </c>
      <c r="F522" t="str">
        <f>_xlfn.IFNA(INDEX(RETAIL__29[Loại TK], MATCH(DS_Khach_hang[[#This Row],[TÀI KHOẢN LƯU KÝ]], RETAIL__29[Số TK lưu ký KH], 0)) &amp; "", "")</f>
        <v>RETAIL</v>
      </c>
    </row>
    <row r="523" spans="1:6" hidden="1" x14ac:dyDescent="0.25">
      <c r="A523" t="s">
        <v>694</v>
      </c>
      <c r="B523" t="s">
        <v>908</v>
      </c>
      <c r="C523" t="s">
        <v>909</v>
      </c>
      <c r="D523" t="s">
        <v>1543</v>
      </c>
      <c r="E523" t="str">
        <f>_xlfn.IFNA(INDEX(RETAIL__29[Nhóm KH], MATCH(DS_Khach_hang[[#This Row],[TÀI KHOẢN LƯU KÝ]], RETAIL__29[Số TK lưu ký KH], 0)) &amp; "", "")</f>
        <v>VIP</v>
      </c>
      <c r="F523" t="str">
        <f>_xlfn.IFNA(INDEX(RETAIL__29[Loại TK], MATCH(DS_Khach_hang[[#This Row],[TÀI KHOẢN LƯU KÝ]], RETAIL__29[Số TK lưu ký KH], 0)) &amp; "", "")</f>
        <v>RETAIL</v>
      </c>
    </row>
    <row r="524" spans="1:6" x14ac:dyDescent="0.25">
      <c r="A524" t="s">
        <v>548</v>
      </c>
      <c r="B524" t="s">
        <v>549</v>
      </c>
      <c r="C524" t="s">
        <v>550</v>
      </c>
      <c r="D524" t="s">
        <v>1544</v>
      </c>
      <c r="E524" t="s">
        <v>1020</v>
      </c>
      <c r="F524" t="s">
        <v>923</v>
      </c>
    </row>
    <row r="525" spans="1:6" x14ac:dyDescent="0.25">
      <c r="A525" t="s">
        <v>548</v>
      </c>
      <c r="B525" t="s">
        <v>549</v>
      </c>
      <c r="C525" t="s">
        <v>550</v>
      </c>
      <c r="D525" t="s">
        <v>1545</v>
      </c>
      <c r="E525" t="s">
        <v>1020</v>
      </c>
      <c r="F525" t="s">
        <v>923</v>
      </c>
    </row>
    <row r="526" spans="1:6" hidden="1" x14ac:dyDescent="0.25">
      <c r="A526" t="s">
        <v>621</v>
      </c>
      <c r="B526" t="s">
        <v>620</v>
      </c>
      <c r="C526" t="s">
        <v>621</v>
      </c>
      <c r="D526" t="s">
        <v>1546</v>
      </c>
      <c r="E526" t="str">
        <f>_xlfn.IFNA(INDEX(RETAIL__29[Nhóm KH], MATCH(DS_Khach_hang[[#This Row],[TÀI KHOẢN LƯU KÝ]], RETAIL__29[Số TK lưu ký KH], 0)) &amp; "", "")</f>
        <v>Standard</v>
      </c>
      <c r="F526" t="str">
        <f>_xlfn.IFNA(INDEX(RETAIL__29[Loại TK], MATCH(DS_Khach_hang[[#This Row],[TÀI KHOẢN LƯU KÝ]], RETAIL__29[Số TK lưu ký KH], 0)) &amp; "", "")</f>
        <v>RETAIL</v>
      </c>
    </row>
    <row r="527" spans="1:6" hidden="1" x14ac:dyDescent="0.25">
      <c r="A527" t="s">
        <v>621</v>
      </c>
      <c r="B527" t="s">
        <v>620</v>
      </c>
      <c r="C527" t="s">
        <v>621</v>
      </c>
      <c r="D527" t="s">
        <v>1547</v>
      </c>
      <c r="E527" t="str">
        <f>_xlfn.IFNA(INDEX(RETAIL__29[Nhóm KH], MATCH(DS_Khach_hang[[#This Row],[TÀI KHOẢN LƯU KÝ]], RETAIL__29[Số TK lưu ký KH], 0)) &amp; "", "")</f>
        <v>Standard</v>
      </c>
      <c r="F527" t="str">
        <f>_xlfn.IFNA(INDEX(RETAIL__29[Loại TK], MATCH(DS_Khach_hang[[#This Row],[TÀI KHOẢN LƯU KÝ]], RETAIL__29[Số TK lưu ký KH], 0)) &amp; "", "")</f>
        <v>RETAIL</v>
      </c>
    </row>
    <row r="528" spans="1:6" hidden="1" x14ac:dyDescent="0.25">
      <c r="A528" t="s">
        <v>621</v>
      </c>
      <c r="B528" t="s">
        <v>626</v>
      </c>
      <c r="C528" t="s">
        <v>627</v>
      </c>
      <c r="D528" t="s">
        <v>1548</v>
      </c>
      <c r="E528" t="str">
        <f>_xlfn.IFNA(INDEX(RETAIL__29[Nhóm KH], MATCH(DS_Khach_hang[[#This Row],[TÀI KHOẢN LƯU KÝ]], RETAIL__29[Số TK lưu ký KH], 0)) &amp; "", "")</f>
        <v>Standard</v>
      </c>
      <c r="F528" t="str">
        <f>_xlfn.IFNA(INDEX(RETAIL__29[Loại TK], MATCH(DS_Khach_hang[[#This Row],[TÀI KHOẢN LƯU KÝ]], RETAIL__29[Số TK lưu ký KH], 0)) &amp; "", "")</f>
        <v>RETAIL</v>
      </c>
    </row>
    <row r="529" spans="1:6" hidden="1" x14ac:dyDescent="0.25">
      <c r="A529" t="s">
        <v>621</v>
      </c>
      <c r="B529" t="s">
        <v>626</v>
      </c>
      <c r="C529" t="s">
        <v>627</v>
      </c>
      <c r="D529" t="s">
        <v>1549</v>
      </c>
      <c r="E529" t="str">
        <f>_xlfn.IFNA(INDEX(RETAIL__29[Nhóm KH], MATCH(DS_Khach_hang[[#This Row],[TÀI KHOẢN LƯU KÝ]], RETAIL__29[Số TK lưu ký KH], 0)) &amp; "", "")</f>
        <v>Standard</v>
      </c>
      <c r="F529" t="str">
        <f>_xlfn.IFNA(INDEX(RETAIL__29[Loại TK], MATCH(DS_Khach_hang[[#This Row],[TÀI KHOẢN LƯU KÝ]], RETAIL__29[Số TK lưu ký KH], 0)) &amp; "", "")</f>
        <v>RETAIL</v>
      </c>
    </row>
    <row r="530" spans="1:6" hidden="1" x14ac:dyDescent="0.25">
      <c r="A530" t="s">
        <v>621</v>
      </c>
      <c r="B530" t="s">
        <v>628</v>
      </c>
      <c r="C530" t="s">
        <v>629</v>
      </c>
      <c r="D530" t="s">
        <v>1550</v>
      </c>
      <c r="E530" t="str">
        <f>_xlfn.IFNA(INDEX(RETAIL__29[Nhóm KH], MATCH(DS_Khach_hang[[#This Row],[TÀI KHOẢN LƯU KÝ]], RETAIL__29[Số TK lưu ký KH], 0)) &amp; "", "")</f>
        <v>Standard</v>
      </c>
      <c r="F530" t="str">
        <f>_xlfn.IFNA(INDEX(RETAIL__29[Loại TK], MATCH(DS_Khach_hang[[#This Row],[TÀI KHOẢN LƯU KÝ]], RETAIL__29[Số TK lưu ký KH], 0)) &amp; "", "")</f>
        <v>RETAIL</v>
      </c>
    </row>
    <row r="531" spans="1:6" hidden="1" x14ac:dyDescent="0.25">
      <c r="A531" t="s">
        <v>621</v>
      </c>
      <c r="B531" t="s">
        <v>628</v>
      </c>
      <c r="C531" t="s">
        <v>629</v>
      </c>
      <c r="D531" t="s">
        <v>1551</v>
      </c>
      <c r="E531" t="str">
        <f>_xlfn.IFNA(INDEX(RETAIL__29[Nhóm KH], MATCH(DS_Khach_hang[[#This Row],[TÀI KHOẢN LƯU KÝ]], RETAIL__29[Số TK lưu ký KH], 0)) &amp; "", "")</f>
        <v>Standard</v>
      </c>
      <c r="F531" t="str">
        <f>_xlfn.IFNA(INDEX(RETAIL__29[Loại TK], MATCH(DS_Khach_hang[[#This Row],[TÀI KHOẢN LƯU KÝ]], RETAIL__29[Số TK lưu ký KH], 0)) &amp; "", "")</f>
        <v>RETAIL</v>
      </c>
    </row>
    <row r="532" spans="1:6" hidden="1" x14ac:dyDescent="0.25">
      <c r="A532" t="s">
        <v>621</v>
      </c>
      <c r="B532" t="s">
        <v>630</v>
      </c>
      <c r="C532" t="s">
        <v>631</v>
      </c>
      <c r="D532" t="s">
        <v>1552</v>
      </c>
      <c r="E532" t="str">
        <f>_xlfn.IFNA(INDEX(RETAIL__29[Nhóm KH], MATCH(DS_Khach_hang[[#This Row],[TÀI KHOẢN LƯU KÝ]], RETAIL__29[Số TK lưu ký KH], 0)) &amp; "", "")</f>
        <v>Standard</v>
      </c>
      <c r="F532" t="str">
        <f>_xlfn.IFNA(INDEX(RETAIL__29[Loại TK], MATCH(DS_Khach_hang[[#This Row],[TÀI KHOẢN LƯU KÝ]], RETAIL__29[Số TK lưu ký KH], 0)) &amp; "", "")</f>
        <v>RETAIL</v>
      </c>
    </row>
    <row r="533" spans="1:6" hidden="1" x14ac:dyDescent="0.25">
      <c r="A533" t="s">
        <v>621</v>
      </c>
      <c r="B533" t="s">
        <v>630</v>
      </c>
      <c r="C533" t="s">
        <v>631</v>
      </c>
      <c r="D533" t="s">
        <v>1553</v>
      </c>
      <c r="E533" t="str">
        <f>_xlfn.IFNA(INDEX(RETAIL__29[Nhóm KH], MATCH(DS_Khach_hang[[#This Row],[TÀI KHOẢN LƯU KÝ]], RETAIL__29[Số TK lưu ký KH], 0)) &amp; "", "")</f>
        <v>Standard</v>
      </c>
      <c r="F533" t="str">
        <f>_xlfn.IFNA(INDEX(RETAIL__29[Loại TK], MATCH(DS_Khach_hang[[#This Row],[TÀI KHOẢN LƯU KÝ]], RETAIL__29[Số TK lưu ký KH], 0)) &amp; "", "")</f>
        <v>RETAIL</v>
      </c>
    </row>
    <row r="534" spans="1:6" hidden="1" x14ac:dyDescent="0.25">
      <c r="A534" t="s">
        <v>621</v>
      </c>
      <c r="B534" t="s">
        <v>632</v>
      </c>
      <c r="C534" t="s">
        <v>633</v>
      </c>
      <c r="D534" t="s">
        <v>1554</v>
      </c>
      <c r="E534" t="str">
        <f>_xlfn.IFNA(INDEX(RETAIL__29[Nhóm KH], MATCH(DS_Khach_hang[[#This Row],[TÀI KHOẢN LƯU KÝ]], RETAIL__29[Số TK lưu ký KH], 0)) &amp; "", "")</f>
        <v>Standard</v>
      </c>
      <c r="F534" t="str">
        <f>_xlfn.IFNA(INDEX(RETAIL__29[Loại TK], MATCH(DS_Khach_hang[[#This Row],[TÀI KHOẢN LƯU KÝ]], RETAIL__29[Số TK lưu ký KH], 0)) &amp; "", "")</f>
        <v>RETAIL</v>
      </c>
    </row>
    <row r="535" spans="1:6" hidden="1" x14ac:dyDescent="0.25">
      <c r="A535" t="s">
        <v>621</v>
      </c>
      <c r="B535" t="s">
        <v>632</v>
      </c>
      <c r="C535" t="s">
        <v>633</v>
      </c>
      <c r="D535" t="s">
        <v>1555</v>
      </c>
      <c r="E535" t="str">
        <f>_xlfn.IFNA(INDEX(RETAIL__29[Nhóm KH], MATCH(DS_Khach_hang[[#This Row],[TÀI KHOẢN LƯU KÝ]], RETAIL__29[Số TK lưu ký KH], 0)) &amp; "", "")</f>
        <v>Standard</v>
      </c>
      <c r="F535" t="str">
        <f>_xlfn.IFNA(INDEX(RETAIL__29[Loại TK], MATCH(DS_Khach_hang[[#This Row],[TÀI KHOẢN LƯU KÝ]], RETAIL__29[Số TK lưu ký KH], 0)) &amp; "", "")</f>
        <v>RETAIL</v>
      </c>
    </row>
    <row r="536" spans="1:6" hidden="1" x14ac:dyDescent="0.25">
      <c r="A536" t="s">
        <v>621</v>
      </c>
      <c r="B536" t="s">
        <v>634</v>
      </c>
      <c r="C536" t="s">
        <v>635</v>
      </c>
      <c r="D536" t="s">
        <v>1556</v>
      </c>
      <c r="E536" t="str">
        <f>_xlfn.IFNA(INDEX(RETAIL__29[Nhóm KH], MATCH(DS_Khach_hang[[#This Row],[TÀI KHOẢN LƯU KÝ]], RETAIL__29[Số TK lưu ký KH], 0)) &amp; "", "")</f>
        <v>Standard</v>
      </c>
      <c r="F536" t="str">
        <f>_xlfn.IFNA(INDEX(RETAIL__29[Loại TK], MATCH(DS_Khach_hang[[#This Row],[TÀI KHOẢN LƯU KÝ]], RETAIL__29[Số TK lưu ký KH], 0)) &amp; "", "")</f>
        <v>RETAIL</v>
      </c>
    </row>
    <row r="537" spans="1:6" hidden="1" x14ac:dyDescent="0.25">
      <c r="A537" t="s">
        <v>621</v>
      </c>
      <c r="B537" t="s">
        <v>634</v>
      </c>
      <c r="C537" t="s">
        <v>635</v>
      </c>
      <c r="D537" t="s">
        <v>1557</v>
      </c>
      <c r="E537" t="str">
        <f>_xlfn.IFNA(INDEX(RETAIL__29[Nhóm KH], MATCH(DS_Khach_hang[[#This Row],[TÀI KHOẢN LƯU KÝ]], RETAIL__29[Số TK lưu ký KH], 0)) &amp; "", "")</f>
        <v>Standard</v>
      </c>
      <c r="F537" t="str">
        <f>_xlfn.IFNA(INDEX(RETAIL__29[Loại TK], MATCH(DS_Khach_hang[[#This Row],[TÀI KHOẢN LƯU KÝ]], RETAIL__29[Số TK lưu ký KH], 0)) &amp; "", "")</f>
        <v>RETAIL</v>
      </c>
    </row>
    <row r="538" spans="1:6" hidden="1" x14ac:dyDescent="0.25">
      <c r="A538" t="s">
        <v>621</v>
      </c>
      <c r="B538" t="s">
        <v>636</v>
      </c>
      <c r="C538" t="s">
        <v>637</v>
      </c>
      <c r="D538" t="s">
        <v>1558</v>
      </c>
      <c r="E538" t="str">
        <f>_xlfn.IFNA(INDEX(RETAIL__29[Nhóm KH], MATCH(DS_Khach_hang[[#This Row],[TÀI KHOẢN LƯU KÝ]], RETAIL__29[Số TK lưu ký KH], 0)) &amp; "", "")</f>
        <v>Standard</v>
      </c>
      <c r="F538" t="str">
        <f>_xlfn.IFNA(INDEX(RETAIL__29[Loại TK], MATCH(DS_Khach_hang[[#This Row],[TÀI KHOẢN LƯU KÝ]], RETAIL__29[Số TK lưu ký KH], 0)) &amp; "", "")</f>
        <v>RETAIL</v>
      </c>
    </row>
    <row r="539" spans="1:6" hidden="1" x14ac:dyDescent="0.25">
      <c r="A539" t="s">
        <v>621</v>
      </c>
      <c r="B539" t="s">
        <v>636</v>
      </c>
      <c r="C539" t="s">
        <v>637</v>
      </c>
      <c r="D539" t="s">
        <v>1559</v>
      </c>
      <c r="E539" t="str">
        <f>_xlfn.IFNA(INDEX(RETAIL__29[Nhóm KH], MATCH(DS_Khach_hang[[#This Row],[TÀI KHOẢN LƯU KÝ]], RETAIL__29[Số TK lưu ký KH], 0)) &amp; "", "")</f>
        <v>Standard</v>
      </c>
      <c r="F539" t="str">
        <f>_xlfn.IFNA(INDEX(RETAIL__29[Loại TK], MATCH(DS_Khach_hang[[#This Row],[TÀI KHOẢN LƯU KÝ]], RETAIL__29[Số TK lưu ký KH], 0)) &amp; "", "")</f>
        <v>RETAIL</v>
      </c>
    </row>
    <row r="540" spans="1:6" hidden="1" x14ac:dyDescent="0.25">
      <c r="A540" t="s">
        <v>621</v>
      </c>
      <c r="B540" t="s">
        <v>638</v>
      </c>
      <c r="C540" t="s">
        <v>639</v>
      </c>
      <c r="D540" t="s">
        <v>1560</v>
      </c>
      <c r="E540" t="str">
        <f>_xlfn.IFNA(INDEX(RETAIL__29[Nhóm KH], MATCH(DS_Khach_hang[[#This Row],[TÀI KHOẢN LƯU KÝ]], RETAIL__29[Số TK lưu ký KH], 0)) &amp; "", "")</f>
        <v>Standard</v>
      </c>
      <c r="F540" t="str">
        <f>_xlfn.IFNA(INDEX(RETAIL__29[Loại TK], MATCH(DS_Khach_hang[[#This Row],[TÀI KHOẢN LƯU KÝ]], RETAIL__29[Số TK lưu ký KH], 0)) &amp; "", "")</f>
        <v>RETAIL</v>
      </c>
    </row>
    <row r="541" spans="1:6" hidden="1" x14ac:dyDescent="0.25">
      <c r="A541" t="s">
        <v>621</v>
      </c>
      <c r="B541" t="s">
        <v>638</v>
      </c>
      <c r="C541" t="s">
        <v>639</v>
      </c>
      <c r="D541" t="s">
        <v>1561</v>
      </c>
      <c r="E541" t="str">
        <f>_xlfn.IFNA(INDEX(RETAIL__29[Nhóm KH], MATCH(DS_Khach_hang[[#This Row],[TÀI KHOẢN LƯU KÝ]], RETAIL__29[Số TK lưu ký KH], 0)) &amp; "", "")</f>
        <v>Standard</v>
      </c>
      <c r="F541" t="str">
        <f>_xlfn.IFNA(INDEX(RETAIL__29[Loại TK], MATCH(DS_Khach_hang[[#This Row],[TÀI KHOẢN LƯU KÝ]], RETAIL__29[Số TK lưu ký KH], 0)) &amp; "", "")</f>
        <v>RETAIL</v>
      </c>
    </row>
    <row r="542" spans="1:6" hidden="1" x14ac:dyDescent="0.25">
      <c r="A542" t="s">
        <v>621</v>
      </c>
      <c r="B542" t="s">
        <v>640</v>
      </c>
      <c r="C542" t="s">
        <v>641</v>
      </c>
      <c r="D542" t="s">
        <v>1562</v>
      </c>
      <c r="E542" t="str">
        <f>_xlfn.IFNA(INDEX(RETAIL__29[Nhóm KH], MATCH(DS_Khach_hang[[#This Row],[TÀI KHOẢN LƯU KÝ]], RETAIL__29[Số TK lưu ký KH], 0)) &amp; "", "")</f>
        <v>Standard</v>
      </c>
      <c r="F542" t="str">
        <f>_xlfn.IFNA(INDEX(RETAIL__29[Loại TK], MATCH(DS_Khach_hang[[#This Row],[TÀI KHOẢN LƯU KÝ]], RETAIL__29[Số TK lưu ký KH], 0)) &amp; "", "")</f>
        <v>RETAIL</v>
      </c>
    </row>
    <row r="543" spans="1:6" hidden="1" x14ac:dyDescent="0.25">
      <c r="A543" t="s">
        <v>621</v>
      </c>
      <c r="B543" t="s">
        <v>640</v>
      </c>
      <c r="C543" t="s">
        <v>641</v>
      </c>
      <c r="D543" t="s">
        <v>1563</v>
      </c>
      <c r="E543" t="str">
        <f>_xlfn.IFNA(INDEX(RETAIL__29[Nhóm KH], MATCH(DS_Khach_hang[[#This Row],[TÀI KHOẢN LƯU KÝ]], RETAIL__29[Số TK lưu ký KH], 0)) &amp; "", "")</f>
        <v>Standard</v>
      </c>
      <c r="F543" t="str">
        <f>_xlfn.IFNA(INDEX(RETAIL__29[Loại TK], MATCH(DS_Khach_hang[[#This Row],[TÀI KHOẢN LƯU KÝ]], RETAIL__29[Số TK lưu ký KH], 0)) &amp; "", "")</f>
        <v>RETAIL</v>
      </c>
    </row>
    <row r="544" spans="1:6" hidden="1" x14ac:dyDescent="0.25">
      <c r="A544" t="s">
        <v>621</v>
      </c>
      <c r="B544" t="s">
        <v>642</v>
      </c>
      <c r="C544" t="s">
        <v>643</v>
      </c>
      <c r="D544" t="s">
        <v>1564</v>
      </c>
      <c r="E544" t="str">
        <f>_xlfn.IFNA(INDEX(RETAIL__29[Nhóm KH], MATCH(DS_Khach_hang[[#This Row],[TÀI KHOẢN LƯU KÝ]], RETAIL__29[Số TK lưu ký KH], 0)) &amp; "", "")</f>
        <v>Standard</v>
      </c>
      <c r="F544" t="str">
        <f>_xlfn.IFNA(INDEX(RETAIL__29[Loại TK], MATCH(DS_Khach_hang[[#This Row],[TÀI KHOẢN LƯU KÝ]], RETAIL__29[Số TK lưu ký KH], 0)) &amp; "", "")</f>
        <v>RETAIL</v>
      </c>
    </row>
    <row r="545" spans="1:6" hidden="1" x14ac:dyDescent="0.25">
      <c r="A545" t="s">
        <v>621</v>
      </c>
      <c r="B545" t="s">
        <v>642</v>
      </c>
      <c r="C545" t="s">
        <v>643</v>
      </c>
      <c r="D545" t="s">
        <v>1565</v>
      </c>
      <c r="E545" t="str">
        <f>_xlfn.IFNA(INDEX(RETAIL__29[Nhóm KH], MATCH(DS_Khach_hang[[#This Row],[TÀI KHOẢN LƯU KÝ]], RETAIL__29[Số TK lưu ký KH], 0)) &amp; "", "")</f>
        <v>Standard</v>
      </c>
      <c r="F545" t="str">
        <f>_xlfn.IFNA(INDEX(RETAIL__29[Loại TK], MATCH(DS_Khach_hang[[#This Row],[TÀI KHOẢN LƯU KÝ]], RETAIL__29[Số TK lưu ký KH], 0)) &amp; "", "")</f>
        <v>RETAIL</v>
      </c>
    </row>
    <row r="546" spans="1:6" hidden="1" x14ac:dyDescent="0.25">
      <c r="A546" t="s">
        <v>621</v>
      </c>
      <c r="B546" t="s">
        <v>644</v>
      </c>
      <c r="C546" t="s">
        <v>645</v>
      </c>
      <c r="D546" t="s">
        <v>1566</v>
      </c>
      <c r="E546" t="str">
        <f>_xlfn.IFNA(INDEX(RETAIL__29[Nhóm KH], MATCH(DS_Khach_hang[[#This Row],[TÀI KHOẢN LƯU KÝ]], RETAIL__29[Số TK lưu ký KH], 0)) &amp; "", "")</f>
        <v>Standard</v>
      </c>
      <c r="F546" t="str">
        <f>_xlfn.IFNA(INDEX(RETAIL__29[Loại TK], MATCH(DS_Khach_hang[[#This Row],[TÀI KHOẢN LƯU KÝ]], RETAIL__29[Số TK lưu ký KH], 0)) &amp; "", "")</f>
        <v>RETAIL</v>
      </c>
    </row>
    <row r="547" spans="1:6" hidden="1" x14ac:dyDescent="0.25">
      <c r="A547" t="s">
        <v>621</v>
      </c>
      <c r="B547" t="s">
        <v>644</v>
      </c>
      <c r="C547" t="s">
        <v>645</v>
      </c>
      <c r="D547" t="s">
        <v>1567</v>
      </c>
      <c r="E547" t="str">
        <f>_xlfn.IFNA(INDEX(RETAIL__29[Nhóm KH], MATCH(DS_Khach_hang[[#This Row],[TÀI KHOẢN LƯU KÝ]], RETAIL__29[Số TK lưu ký KH], 0)) &amp; "", "")</f>
        <v>Standard</v>
      </c>
      <c r="F547" t="str">
        <f>_xlfn.IFNA(INDEX(RETAIL__29[Loại TK], MATCH(DS_Khach_hang[[#This Row],[TÀI KHOẢN LƯU KÝ]], RETAIL__29[Số TK lưu ký KH], 0)) &amp; "", "")</f>
        <v>RETAIL</v>
      </c>
    </row>
    <row r="548" spans="1:6" hidden="1" x14ac:dyDescent="0.25">
      <c r="A548" t="s">
        <v>621</v>
      </c>
      <c r="B548" t="s">
        <v>646</v>
      </c>
      <c r="C548" t="s">
        <v>647</v>
      </c>
      <c r="D548" t="s">
        <v>1568</v>
      </c>
      <c r="E548" t="str">
        <f>_xlfn.IFNA(INDEX(RETAIL__29[Nhóm KH], MATCH(DS_Khach_hang[[#This Row],[TÀI KHOẢN LƯU KÝ]], RETAIL__29[Số TK lưu ký KH], 0)) &amp; "", "")</f>
        <v>Standard</v>
      </c>
      <c r="F548" t="str">
        <f>_xlfn.IFNA(INDEX(RETAIL__29[Loại TK], MATCH(DS_Khach_hang[[#This Row],[TÀI KHOẢN LƯU KÝ]], RETAIL__29[Số TK lưu ký KH], 0)) &amp; "", "")</f>
        <v>RETAIL</v>
      </c>
    </row>
    <row r="549" spans="1:6" hidden="1" x14ac:dyDescent="0.25">
      <c r="A549" t="s">
        <v>621</v>
      </c>
      <c r="B549" t="s">
        <v>646</v>
      </c>
      <c r="C549" t="s">
        <v>647</v>
      </c>
      <c r="D549" t="s">
        <v>1569</v>
      </c>
      <c r="E549" t="str">
        <f>_xlfn.IFNA(INDEX(RETAIL__29[Nhóm KH], MATCH(DS_Khach_hang[[#This Row],[TÀI KHOẢN LƯU KÝ]], RETAIL__29[Số TK lưu ký KH], 0)) &amp; "", "")</f>
        <v>Standard</v>
      </c>
      <c r="F549" t="str">
        <f>_xlfn.IFNA(INDEX(RETAIL__29[Loại TK], MATCH(DS_Khach_hang[[#This Row],[TÀI KHOẢN LƯU KÝ]], RETAIL__29[Số TK lưu ký KH], 0)) &amp; "", "")</f>
        <v>RETAIL</v>
      </c>
    </row>
    <row r="550" spans="1:6" hidden="1" x14ac:dyDescent="0.25">
      <c r="A550" t="s">
        <v>621</v>
      </c>
      <c r="B550" t="s">
        <v>648</v>
      </c>
      <c r="C550" t="s">
        <v>649</v>
      </c>
      <c r="D550" t="s">
        <v>1570</v>
      </c>
      <c r="E550" t="str">
        <f>_xlfn.IFNA(INDEX(RETAIL__29[Nhóm KH], MATCH(DS_Khach_hang[[#This Row],[TÀI KHOẢN LƯU KÝ]], RETAIL__29[Số TK lưu ký KH], 0)) &amp; "", "")</f>
        <v>Standard</v>
      </c>
      <c r="F550" t="str">
        <f>_xlfn.IFNA(INDEX(RETAIL__29[Loại TK], MATCH(DS_Khach_hang[[#This Row],[TÀI KHOẢN LƯU KÝ]], RETAIL__29[Số TK lưu ký KH], 0)) &amp; "", "")</f>
        <v>RETAIL</v>
      </c>
    </row>
    <row r="551" spans="1:6" hidden="1" x14ac:dyDescent="0.25">
      <c r="A551" t="s">
        <v>621</v>
      </c>
      <c r="B551" t="s">
        <v>648</v>
      </c>
      <c r="C551" t="s">
        <v>649</v>
      </c>
      <c r="D551" t="s">
        <v>1571</v>
      </c>
      <c r="E551" t="str">
        <f>_xlfn.IFNA(INDEX(RETAIL__29[Nhóm KH], MATCH(DS_Khach_hang[[#This Row],[TÀI KHOẢN LƯU KÝ]], RETAIL__29[Số TK lưu ký KH], 0)) &amp; "", "")</f>
        <v>Standard</v>
      </c>
      <c r="F551" t="str">
        <f>_xlfn.IFNA(INDEX(RETAIL__29[Loại TK], MATCH(DS_Khach_hang[[#This Row],[TÀI KHOẢN LƯU KÝ]], RETAIL__29[Số TK lưu ký KH], 0)) &amp; "", "")</f>
        <v>RETAIL</v>
      </c>
    </row>
    <row r="552" spans="1:6" hidden="1" x14ac:dyDescent="0.25">
      <c r="A552" t="s">
        <v>621</v>
      </c>
      <c r="B552" t="s">
        <v>650</v>
      </c>
      <c r="C552" t="s">
        <v>651</v>
      </c>
      <c r="D552" t="s">
        <v>1572</v>
      </c>
      <c r="E552" t="str">
        <f>_xlfn.IFNA(INDEX(RETAIL__29[Nhóm KH], MATCH(DS_Khach_hang[[#This Row],[TÀI KHOẢN LƯU KÝ]], RETAIL__29[Số TK lưu ký KH], 0)) &amp; "", "")</f>
        <v>Standard</v>
      </c>
      <c r="F552" t="str">
        <f>_xlfn.IFNA(INDEX(RETAIL__29[Loại TK], MATCH(DS_Khach_hang[[#This Row],[TÀI KHOẢN LƯU KÝ]], RETAIL__29[Số TK lưu ký KH], 0)) &amp; "", "")</f>
        <v>RETAIL</v>
      </c>
    </row>
    <row r="553" spans="1:6" hidden="1" x14ac:dyDescent="0.25">
      <c r="A553" t="s">
        <v>621</v>
      </c>
      <c r="B553" t="s">
        <v>650</v>
      </c>
      <c r="C553" t="s">
        <v>651</v>
      </c>
      <c r="D553" t="s">
        <v>1573</v>
      </c>
      <c r="E553" t="str">
        <f>_xlfn.IFNA(INDEX(RETAIL__29[Nhóm KH], MATCH(DS_Khach_hang[[#This Row],[TÀI KHOẢN LƯU KÝ]], RETAIL__29[Số TK lưu ký KH], 0)) &amp; "", "")</f>
        <v>Standard</v>
      </c>
      <c r="F553" t="str">
        <f>_xlfn.IFNA(INDEX(RETAIL__29[Loại TK], MATCH(DS_Khach_hang[[#This Row],[TÀI KHOẢN LƯU KÝ]], RETAIL__29[Số TK lưu ký KH], 0)) &amp; "", "")</f>
        <v>RETAIL</v>
      </c>
    </row>
    <row r="554" spans="1:6" hidden="1" x14ac:dyDescent="0.25">
      <c r="A554" t="s">
        <v>621</v>
      </c>
      <c r="B554" t="s">
        <v>652</v>
      </c>
      <c r="C554" t="s">
        <v>653</v>
      </c>
      <c r="D554" t="s">
        <v>1574</v>
      </c>
      <c r="E554" t="str">
        <f>_xlfn.IFNA(INDEX(RETAIL__29[Nhóm KH], MATCH(DS_Khach_hang[[#This Row],[TÀI KHOẢN LƯU KÝ]], RETAIL__29[Số TK lưu ký KH], 0)) &amp; "", "")</f>
        <v>Standard</v>
      </c>
      <c r="F554" t="str">
        <f>_xlfn.IFNA(INDEX(RETAIL__29[Loại TK], MATCH(DS_Khach_hang[[#This Row],[TÀI KHOẢN LƯU KÝ]], RETAIL__29[Số TK lưu ký KH], 0)) &amp; "", "")</f>
        <v>RETAIL</v>
      </c>
    </row>
    <row r="555" spans="1:6" hidden="1" x14ac:dyDescent="0.25">
      <c r="A555" t="s">
        <v>621</v>
      </c>
      <c r="B555" t="s">
        <v>652</v>
      </c>
      <c r="C555" t="s">
        <v>653</v>
      </c>
      <c r="D555" t="s">
        <v>1575</v>
      </c>
      <c r="E555" t="str">
        <f>_xlfn.IFNA(INDEX(RETAIL__29[Nhóm KH], MATCH(DS_Khach_hang[[#This Row],[TÀI KHOẢN LƯU KÝ]], RETAIL__29[Số TK lưu ký KH], 0)) &amp; "", "")</f>
        <v>Standard</v>
      </c>
      <c r="F555" t="str">
        <f>_xlfn.IFNA(INDEX(RETAIL__29[Loại TK], MATCH(DS_Khach_hang[[#This Row],[TÀI KHOẢN LƯU KÝ]], RETAIL__29[Số TK lưu ký KH], 0)) &amp; "", "")</f>
        <v>RETAIL</v>
      </c>
    </row>
    <row r="556" spans="1:6" hidden="1" x14ac:dyDescent="0.25">
      <c r="A556" t="s">
        <v>621</v>
      </c>
      <c r="B556" t="s">
        <v>654</v>
      </c>
      <c r="C556" t="s">
        <v>655</v>
      </c>
      <c r="D556" t="s">
        <v>1576</v>
      </c>
      <c r="E556" t="str">
        <f>_xlfn.IFNA(INDEX(RETAIL__29[Nhóm KH], MATCH(DS_Khach_hang[[#This Row],[TÀI KHOẢN LƯU KÝ]], RETAIL__29[Số TK lưu ký KH], 0)) &amp; "", "")</f>
        <v>Standard</v>
      </c>
      <c r="F556" t="str">
        <f>_xlfn.IFNA(INDEX(RETAIL__29[Loại TK], MATCH(DS_Khach_hang[[#This Row],[TÀI KHOẢN LƯU KÝ]], RETAIL__29[Số TK lưu ký KH], 0)) &amp; "", "")</f>
        <v>RETAIL</v>
      </c>
    </row>
    <row r="557" spans="1:6" hidden="1" x14ac:dyDescent="0.25">
      <c r="A557" t="s">
        <v>621</v>
      </c>
      <c r="B557" t="s">
        <v>654</v>
      </c>
      <c r="C557" t="s">
        <v>655</v>
      </c>
      <c r="D557" t="s">
        <v>1577</v>
      </c>
      <c r="E557" t="str">
        <f>_xlfn.IFNA(INDEX(RETAIL__29[Nhóm KH], MATCH(DS_Khach_hang[[#This Row],[TÀI KHOẢN LƯU KÝ]], RETAIL__29[Số TK lưu ký KH], 0)) &amp; "", "")</f>
        <v>Standard</v>
      </c>
      <c r="F557" t="str">
        <f>_xlfn.IFNA(INDEX(RETAIL__29[Loại TK], MATCH(DS_Khach_hang[[#This Row],[TÀI KHOẢN LƯU KÝ]], RETAIL__29[Số TK lưu ký KH], 0)) &amp; "", "")</f>
        <v>RETAIL</v>
      </c>
    </row>
    <row r="558" spans="1:6" hidden="1" x14ac:dyDescent="0.25">
      <c r="A558" t="s">
        <v>621</v>
      </c>
      <c r="B558" t="s">
        <v>656</v>
      </c>
      <c r="C558" t="s">
        <v>657</v>
      </c>
      <c r="D558" t="s">
        <v>1578</v>
      </c>
      <c r="E558" t="str">
        <f>_xlfn.IFNA(INDEX(RETAIL__29[Nhóm KH], MATCH(DS_Khach_hang[[#This Row],[TÀI KHOẢN LƯU KÝ]], RETAIL__29[Số TK lưu ký KH], 0)) &amp; "", "")</f>
        <v>Standard</v>
      </c>
      <c r="F558" t="str">
        <f>_xlfn.IFNA(INDEX(RETAIL__29[Loại TK], MATCH(DS_Khach_hang[[#This Row],[TÀI KHOẢN LƯU KÝ]], RETAIL__29[Số TK lưu ký KH], 0)) &amp; "", "")</f>
        <v>RETAIL</v>
      </c>
    </row>
    <row r="559" spans="1:6" hidden="1" x14ac:dyDescent="0.25">
      <c r="A559" t="s">
        <v>621</v>
      </c>
      <c r="B559" t="s">
        <v>656</v>
      </c>
      <c r="C559" t="s">
        <v>657</v>
      </c>
      <c r="D559" t="s">
        <v>1579</v>
      </c>
      <c r="E559" t="str">
        <f>_xlfn.IFNA(INDEX(RETAIL__29[Nhóm KH], MATCH(DS_Khach_hang[[#This Row],[TÀI KHOẢN LƯU KÝ]], RETAIL__29[Số TK lưu ký KH], 0)) &amp; "", "")</f>
        <v>Standard</v>
      </c>
      <c r="F559" t="str">
        <f>_xlfn.IFNA(INDEX(RETAIL__29[Loại TK], MATCH(DS_Khach_hang[[#This Row],[TÀI KHOẢN LƯU KÝ]], RETAIL__29[Số TK lưu ký KH], 0)) &amp; "", "")</f>
        <v>RETAIL</v>
      </c>
    </row>
    <row r="560" spans="1:6" hidden="1" x14ac:dyDescent="0.25">
      <c r="A560" t="s">
        <v>621</v>
      </c>
      <c r="B560" t="s">
        <v>658</v>
      </c>
      <c r="C560" t="s">
        <v>659</v>
      </c>
      <c r="D560" t="s">
        <v>1580</v>
      </c>
      <c r="E560" t="str">
        <f>_xlfn.IFNA(INDEX(RETAIL__29[Nhóm KH], MATCH(DS_Khach_hang[[#This Row],[TÀI KHOẢN LƯU KÝ]], RETAIL__29[Số TK lưu ký KH], 0)) &amp; "", "")</f>
        <v>Standard</v>
      </c>
      <c r="F560" t="str">
        <f>_xlfn.IFNA(INDEX(RETAIL__29[Loại TK], MATCH(DS_Khach_hang[[#This Row],[TÀI KHOẢN LƯU KÝ]], RETAIL__29[Số TK lưu ký KH], 0)) &amp; "", "")</f>
        <v>RETAIL</v>
      </c>
    </row>
    <row r="561" spans="1:6" hidden="1" x14ac:dyDescent="0.25">
      <c r="A561" t="s">
        <v>621</v>
      </c>
      <c r="B561" t="s">
        <v>658</v>
      </c>
      <c r="C561" t="s">
        <v>659</v>
      </c>
      <c r="D561" t="s">
        <v>1581</v>
      </c>
      <c r="E561" t="str">
        <f>_xlfn.IFNA(INDEX(RETAIL__29[Nhóm KH], MATCH(DS_Khach_hang[[#This Row],[TÀI KHOẢN LƯU KÝ]], RETAIL__29[Số TK lưu ký KH], 0)) &amp; "", "")</f>
        <v>Standard</v>
      </c>
      <c r="F561" t="str">
        <f>_xlfn.IFNA(INDEX(RETAIL__29[Loại TK], MATCH(DS_Khach_hang[[#This Row],[TÀI KHOẢN LƯU KÝ]], RETAIL__29[Số TK lưu ký KH], 0)) &amp; "", "")</f>
        <v>RETAIL</v>
      </c>
    </row>
    <row r="562" spans="1:6" hidden="1" x14ac:dyDescent="0.25">
      <c r="A562" t="s">
        <v>621</v>
      </c>
      <c r="B562" t="s">
        <v>660</v>
      </c>
      <c r="C562" t="s">
        <v>661</v>
      </c>
      <c r="D562" t="s">
        <v>1582</v>
      </c>
      <c r="E562" t="str">
        <f>_xlfn.IFNA(INDEX(RETAIL__29[Nhóm KH], MATCH(DS_Khach_hang[[#This Row],[TÀI KHOẢN LƯU KÝ]], RETAIL__29[Số TK lưu ký KH], 0)) &amp; "", "")</f>
        <v>Standard</v>
      </c>
      <c r="F562" t="str">
        <f>_xlfn.IFNA(INDEX(RETAIL__29[Loại TK], MATCH(DS_Khach_hang[[#This Row],[TÀI KHOẢN LƯU KÝ]], RETAIL__29[Số TK lưu ký KH], 0)) &amp; "", "")</f>
        <v>RETAIL</v>
      </c>
    </row>
    <row r="563" spans="1:6" hidden="1" x14ac:dyDescent="0.25">
      <c r="A563" t="s">
        <v>621</v>
      </c>
      <c r="B563" t="s">
        <v>660</v>
      </c>
      <c r="C563" t="s">
        <v>661</v>
      </c>
      <c r="D563" t="s">
        <v>1583</v>
      </c>
      <c r="E563" t="str">
        <f>_xlfn.IFNA(INDEX(RETAIL__29[Nhóm KH], MATCH(DS_Khach_hang[[#This Row],[TÀI KHOẢN LƯU KÝ]], RETAIL__29[Số TK lưu ký KH], 0)) &amp; "", "")</f>
        <v>Standard</v>
      </c>
      <c r="F563" t="str">
        <f>_xlfn.IFNA(INDEX(RETAIL__29[Loại TK], MATCH(DS_Khach_hang[[#This Row],[TÀI KHOẢN LƯU KÝ]], RETAIL__29[Số TK lưu ký KH], 0)) &amp; "", "")</f>
        <v>RETAIL</v>
      </c>
    </row>
    <row r="564" spans="1:6" hidden="1" x14ac:dyDescent="0.25">
      <c r="A564" t="s">
        <v>621</v>
      </c>
      <c r="B564" t="s">
        <v>662</v>
      </c>
      <c r="C564" t="s">
        <v>663</v>
      </c>
      <c r="D564" t="s">
        <v>1584</v>
      </c>
      <c r="E564" t="str">
        <f>_xlfn.IFNA(INDEX(RETAIL__29[Nhóm KH], MATCH(DS_Khach_hang[[#This Row],[TÀI KHOẢN LƯU KÝ]], RETAIL__29[Số TK lưu ký KH], 0)) &amp; "", "")</f>
        <v>Standard</v>
      </c>
      <c r="F564" t="str">
        <f>_xlfn.IFNA(INDEX(RETAIL__29[Loại TK], MATCH(DS_Khach_hang[[#This Row],[TÀI KHOẢN LƯU KÝ]], RETAIL__29[Số TK lưu ký KH], 0)) &amp; "", "")</f>
        <v>RETAIL</v>
      </c>
    </row>
    <row r="565" spans="1:6" hidden="1" x14ac:dyDescent="0.25">
      <c r="A565" t="s">
        <v>621</v>
      </c>
      <c r="B565" t="s">
        <v>662</v>
      </c>
      <c r="C565" t="s">
        <v>663</v>
      </c>
      <c r="D565" t="s">
        <v>1585</v>
      </c>
      <c r="E565" t="str">
        <f>_xlfn.IFNA(INDEX(RETAIL__29[Nhóm KH], MATCH(DS_Khach_hang[[#This Row],[TÀI KHOẢN LƯU KÝ]], RETAIL__29[Số TK lưu ký KH], 0)) &amp; "", "")</f>
        <v>Standard</v>
      </c>
      <c r="F565" t="str">
        <f>_xlfn.IFNA(INDEX(RETAIL__29[Loại TK], MATCH(DS_Khach_hang[[#This Row],[TÀI KHOẢN LƯU KÝ]], RETAIL__29[Số TK lưu ký KH], 0)) &amp; "", "")</f>
        <v>RETAIL</v>
      </c>
    </row>
    <row r="566" spans="1:6" hidden="1" x14ac:dyDescent="0.25">
      <c r="A566" t="s">
        <v>621</v>
      </c>
      <c r="B566" t="s">
        <v>664</v>
      </c>
      <c r="C566" t="s">
        <v>665</v>
      </c>
      <c r="D566" t="s">
        <v>1586</v>
      </c>
      <c r="E566" t="str">
        <f>_xlfn.IFNA(INDEX(RETAIL__29[Nhóm KH], MATCH(DS_Khach_hang[[#This Row],[TÀI KHOẢN LƯU KÝ]], RETAIL__29[Số TK lưu ký KH], 0)) &amp; "", "")</f>
        <v>Standard</v>
      </c>
      <c r="F566" t="str">
        <f>_xlfn.IFNA(INDEX(RETAIL__29[Loại TK], MATCH(DS_Khach_hang[[#This Row],[TÀI KHOẢN LƯU KÝ]], RETAIL__29[Số TK lưu ký KH], 0)) &amp; "", "")</f>
        <v>RETAIL</v>
      </c>
    </row>
    <row r="567" spans="1:6" hidden="1" x14ac:dyDescent="0.25">
      <c r="A567" t="s">
        <v>621</v>
      </c>
      <c r="B567" t="s">
        <v>664</v>
      </c>
      <c r="C567" t="s">
        <v>665</v>
      </c>
      <c r="D567" t="s">
        <v>1587</v>
      </c>
      <c r="E567" t="str">
        <f>_xlfn.IFNA(INDEX(RETAIL__29[Nhóm KH], MATCH(DS_Khach_hang[[#This Row],[TÀI KHOẢN LƯU KÝ]], RETAIL__29[Số TK lưu ký KH], 0)) &amp; "", "")</f>
        <v>Standard</v>
      </c>
      <c r="F567" t="str">
        <f>_xlfn.IFNA(INDEX(RETAIL__29[Loại TK], MATCH(DS_Khach_hang[[#This Row],[TÀI KHOẢN LƯU KÝ]], RETAIL__29[Số TK lưu ký KH], 0)) &amp; "", "")</f>
        <v>RETAIL</v>
      </c>
    </row>
    <row r="568" spans="1:6" hidden="1" x14ac:dyDescent="0.25">
      <c r="A568" t="s">
        <v>621</v>
      </c>
      <c r="B568" t="s">
        <v>666</v>
      </c>
      <c r="C568" t="s">
        <v>667</v>
      </c>
      <c r="D568" t="s">
        <v>1588</v>
      </c>
      <c r="E568" t="str">
        <f>_xlfn.IFNA(INDEX(RETAIL__29[Nhóm KH], MATCH(DS_Khach_hang[[#This Row],[TÀI KHOẢN LƯU KÝ]], RETAIL__29[Số TK lưu ký KH], 0)) &amp; "", "")</f>
        <v>Standard</v>
      </c>
      <c r="F568" t="str">
        <f>_xlfn.IFNA(INDEX(RETAIL__29[Loại TK], MATCH(DS_Khach_hang[[#This Row],[TÀI KHOẢN LƯU KÝ]], RETAIL__29[Số TK lưu ký KH], 0)) &amp; "", "")</f>
        <v>RETAIL</v>
      </c>
    </row>
    <row r="569" spans="1:6" hidden="1" x14ac:dyDescent="0.25">
      <c r="A569" t="s">
        <v>621</v>
      </c>
      <c r="B569" t="s">
        <v>666</v>
      </c>
      <c r="C569" t="s">
        <v>667</v>
      </c>
      <c r="D569" t="s">
        <v>1589</v>
      </c>
      <c r="E569" t="str">
        <f>_xlfn.IFNA(INDEX(RETAIL__29[Nhóm KH], MATCH(DS_Khach_hang[[#This Row],[TÀI KHOẢN LƯU KÝ]], RETAIL__29[Số TK lưu ký KH], 0)) &amp; "", "")</f>
        <v>Standard</v>
      </c>
      <c r="F569" t="str">
        <f>_xlfn.IFNA(INDEX(RETAIL__29[Loại TK], MATCH(DS_Khach_hang[[#This Row],[TÀI KHOẢN LƯU KÝ]], RETAIL__29[Số TK lưu ký KH], 0)) &amp; "", "")</f>
        <v>RETAIL</v>
      </c>
    </row>
    <row r="570" spans="1:6" hidden="1" x14ac:dyDescent="0.25">
      <c r="A570" t="s">
        <v>621</v>
      </c>
      <c r="B570" t="s">
        <v>668</v>
      </c>
      <c r="C570" t="s">
        <v>669</v>
      </c>
      <c r="D570" t="s">
        <v>1590</v>
      </c>
      <c r="E570" t="str">
        <f>_xlfn.IFNA(INDEX(RETAIL__29[Nhóm KH], MATCH(DS_Khach_hang[[#This Row],[TÀI KHOẢN LƯU KÝ]], RETAIL__29[Số TK lưu ký KH], 0)) &amp; "", "")</f>
        <v>Standard</v>
      </c>
      <c r="F570" t="str">
        <f>_xlfn.IFNA(INDEX(RETAIL__29[Loại TK], MATCH(DS_Khach_hang[[#This Row],[TÀI KHOẢN LƯU KÝ]], RETAIL__29[Số TK lưu ký KH], 0)) &amp; "", "")</f>
        <v>RETAIL</v>
      </c>
    </row>
    <row r="571" spans="1:6" hidden="1" x14ac:dyDescent="0.25">
      <c r="A571" t="s">
        <v>621</v>
      </c>
      <c r="B571" t="s">
        <v>668</v>
      </c>
      <c r="C571" t="s">
        <v>669</v>
      </c>
      <c r="D571" t="s">
        <v>1591</v>
      </c>
      <c r="E571" t="str">
        <f>_xlfn.IFNA(INDEX(RETAIL__29[Nhóm KH], MATCH(DS_Khach_hang[[#This Row],[TÀI KHOẢN LƯU KÝ]], RETAIL__29[Số TK lưu ký KH], 0)) &amp; "", "")</f>
        <v>Standard</v>
      </c>
      <c r="F571" t="str">
        <f>_xlfn.IFNA(INDEX(RETAIL__29[Loại TK], MATCH(DS_Khach_hang[[#This Row],[TÀI KHOẢN LƯU KÝ]], RETAIL__29[Số TK lưu ký KH], 0)) &amp; "", "")</f>
        <v>RETAIL</v>
      </c>
    </row>
    <row r="572" spans="1:6" hidden="1" x14ac:dyDescent="0.25">
      <c r="A572" t="s">
        <v>621</v>
      </c>
      <c r="B572" t="s">
        <v>670</v>
      </c>
      <c r="C572" t="s">
        <v>671</v>
      </c>
      <c r="D572" t="s">
        <v>1592</v>
      </c>
      <c r="E572" t="str">
        <f>_xlfn.IFNA(INDEX(RETAIL__29[Nhóm KH], MATCH(DS_Khach_hang[[#This Row],[TÀI KHOẢN LƯU KÝ]], RETAIL__29[Số TK lưu ký KH], 0)) &amp; "", "")</f>
        <v>Standard</v>
      </c>
      <c r="F572" t="str">
        <f>_xlfn.IFNA(INDEX(RETAIL__29[Loại TK], MATCH(DS_Khach_hang[[#This Row],[TÀI KHOẢN LƯU KÝ]], RETAIL__29[Số TK lưu ký KH], 0)) &amp; "", "")</f>
        <v>RETAIL</v>
      </c>
    </row>
    <row r="573" spans="1:6" hidden="1" x14ac:dyDescent="0.25">
      <c r="A573" t="s">
        <v>621</v>
      </c>
      <c r="B573" t="s">
        <v>670</v>
      </c>
      <c r="C573" t="s">
        <v>671</v>
      </c>
      <c r="D573" t="s">
        <v>1593</v>
      </c>
      <c r="E573" t="str">
        <f>_xlfn.IFNA(INDEX(RETAIL__29[Nhóm KH], MATCH(DS_Khach_hang[[#This Row],[TÀI KHOẢN LƯU KÝ]], RETAIL__29[Số TK lưu ký KH], 0)) &amp; "", "")</f>
        <v>Standard</v>
      </c>
      <c r="F573" t="str">
        <f>_xlfn.IFNA(INDEX(RETAIL__29[Loại TK], MATCH(DS_Khach_hang[[#This Row],[TÀI KHOẢN LƯU KÝ]], RETAIL__29[Số TK lưu ký KH], 0)) &amp; "", "")</f>
        <v>RETAIL</v>
      </c>
    </row>
    <row r="574" spans="1:6" hidden="1" x14ac:dyDescent="0.25">
      <c r="A574" t="s">
        <v>621</v>
      </c>
      <c r="B574" t="s">
        <v>672</v>
      </c>
      <c r="C574" t="s">
        <v>673</v>
      </c>
      <c r="D574" t="s">
        <v>1594</v>
      </c>
      <c r="E574" t="str">
        <f>_xlfn.IFNA(INDEX(RETAIL__29[Nhóm KH], MATCH(DS_Khach_hang[[#This Row],[TÀI KHOẢN LƯU KÝ]], RETAIL__29[Số TK lưu ký KH], 0)) &amp; "", "")</f>
        <v>Standard</v>
      </c>
      <c r="F574" t="str">
        <f>_xlfn.IFNA(INDEX(RETAIL__29[Loại TK], MATCH(DS_Khach_hang[[#This Row],[TÀI KHOẢN LƯU KÝ]], RETAIL__29[Số TK lưu ký KH], 0)) &amp; "", "")</f>
        <v>RETAIL</v>
      </c>
    </row>
    <row r="575" spans="1:6" hidden="1" x14ac:dyDescent="0.25">
      <c r="A575" t="s">
        <v>621</v>
      </c>
      <c r="B575" t="s">
        <v>672</v>
      </c>
      <c r="C575" t="s">
        <v>673</v>
      </c>
      <c r="D575" t="s">
        <v>1595</v>
      </c>
      <c r="E575" t="str">
        <f>_xlfn.IFNA(INDEX(RETAIL__29[Nhóm KH], MATCH(DS_Khach_hang[[#This Row],[TÀI KHOẢN LƯU KÝ]], RETAIL__29[Số TK lưu ký KH], 0)) &amp; "", "")</f>
        <v>Standard</v>
      </c>
      <c r="F575" t="str">
        <f>_xlfn.IFNA(INDEX(RETAIL__29[Loại TK], MATCH(DS_Khach_hang[[#This Row],[TÀI KHOẢN LƯU KÝ]], RETAIL__29[Số TK lưu ký KH], 0)) &amp; "", "")</f>
        <v>RETAIL</v>
      </c>
    </row>
    <row r="576" spans="1:6" hidden="1" x14ac:dyDescent="0.25">
      <c r="A576" t="s">
        <v>621</v>
      </c>
      <c r="B576" t="s">
        <v>674</v>
      </c>
      <c r="C576" t="s">
        <v>675</v>
      </c>
      <c r="D576" t="s">
        <v>1596</v>
      </c>
      <c r="E576" t="str">
        <f>_xlfn.IFNA(INDEX(RETAIL__29[Nhóm KH], MATCH(DS_Khach_hang[[#This Row],[TÀI KHOẢN LƯU KÝ]], RETAIL__29[Số TK lưu ký KH], 0)) &amp; "", "")</f>
        <v>Standard</v>
      </c>
      <c r="F576" t="str">
        <f>_xlfn.IFNA(INDEX(RETAIL__29[Loại TK], MATCH(DS_Khach_hang[[#This Row],[TÀI KHOẢN LƯU KÝ]], RETAIL__29[Số TK lưu ký KH], 0)) &amp; "", "")</f>
        <v>RETAIL</v>
      </c>
    </row>
    <row r="577" spans="1:6" hidden="1" x14ac:dyDescent="0.25">
      <c r="A577" t="s">
        <v>621</v>
      </c>
      <c r="B577" t="s">
        <v>674</v>
      </c>
      <c r="C577" t="s">
        <v>675</v>
      </c>
      <c r="D577" t="s">
        <v>1597</v>
      </c>
      <c r="E577" t="str">
        <f>_xlfn.IFNA(INDEX(RETAIL__29[Nhóm KH], MATCH(DS_Khach_hang[[#This Row],[TÀI KHOẢN LƯU KÝ]], RETAIL__29[Số TK lưu ký KH], 0)) &amp; "", "")</f>
        <v>Standard</v>
      </c>
      <c r="F577" t="str">
        <f>_xlfn.IFNA(INDEX(RETAIL__29[Loại TK], MATCH(DS_Khach_hang[[#This Row],[TÀI KHOẢN LƯU KÝ]], RETAIL__29[Số TK lưu ký KH], 0)) &amp; "", "")</f>
        <v>RETAIL</v>
      </c>
    </row>
    <row r="578" spans="1:6" hidden="1" x14ac:dyDescent="0.25">
      <c r="A578" t="s">
        <v>621</v>
      </c>
      <c r="B578" t="s">
        <v>676</v>
      </c>
      <c r="C578" t="s">
        <v>677</v>
      </c>
      <c r="D578" t="s">
        <v>1598</v>
      </c>
      <c r="E578" t="str">
        <f>_xlfn.IFNA(INDEX(RETAIL__29[Nhóm KH], MATCH(DS_Khach_hang[[#This Row],[TÀI KHOẢN LƯU KÝ]], RETAIL__29[Số TK lưu ký KH], 0)) &amp; "", "")</f>
        <v>Standard</v>
      </c>
      <c r="F578" t="str">
        <f>_xlfn.IFNA(INDEX(RETAIL__29[Loại TK], MATCH(DS_Khach_hang[[#This Row],[TÀI KHOẢN LƯU KÝ]], RETAIL__29[Số TK lưu ký KH], 0)) &amp; "", "")</f>
        <v>RETAIL</v>
      </c>
    </row>
    <row r="579" spans="1:6" hidden="1" x14ac:dyDescent="0.25">
      <c r="A579" t="s">
        <v>621</v>
      </c>
      <c r="B579" t="s">
        <v>676</v>
      </c>
      <c r="C579" t="s">
        <v>677</v>
      </c>
      <c r="D579" t="s">
        <v>1599</v>
      </c>
      <c r="E579" t="str">
        <f>_xlfn.IFNA(INDEX(RETAIL__29[Nhóm KH], MATCH(DS_Khach_hang[[#This Row],[TÀI KHOẢN LƯU KÝ]], RETAIL__29[Số TK lưu ký KH], 0)) &amp; "", "")</f>
        <v>Standard</v>
      </c>
      <c r="F579" t="str">
        <f>_xlfn.IFNA(INDEX(RETAIL__29[Loại TK], MATCH(DS_Khach_hang[[#This Row],[TÀI KHOẢN LƯU KÝ]], RETAIL__29[Số TK lưu ký KH], 0)) &amp; "", "")</f>
        <v>RETAIL</v>
      </c>
    </row>
    <row r="580" spans="1:6" hidden="1" x14ac:dyDescent="0.25">
      <c r="A580" t="s">
        <v>621</v>
      </c>
      <c r="B580" t="s">
        <v>678</v>
      </c>
      <c r="C580" t="s">
        <v>679</v>
      </c>
      <c r="D580" t="s">
        <v>1600</v>
      </c>
      <c r="E580" t="str">
        <f>_xlfn.IFNA(INDEX(RETAIL__29[Nhóm KH], MATCH(DS_Khach_hang[[#This Row],[TÀI KHOẢN LƯU KÝ]], RETAIL__29[Số TK lưu ký KH], 0)) &amp; "", "")</f>
        <v>Standard</v>
      </c>
      <c r="F580" t="str">
        <f>_xlfn.IFNA(INDEX(RETAIL__29[Loại TK], MATCH(DS_Khach_hang[[#This Row],[TÀI KHOẢN LƯU KÝ]], RETAIL__29[Số TK lưu ký KH], 0)) &amp; "", "")</f>
        <v>RETAIL</v>
      </c>
    </row>
    <row r="581" spans="1:6" hidden="1" x14ac:dyDescent="0.25">
      <c r="A581" t="s">
        <v>621</v>
      </c>
      <c r="B581" t="s">
        <v>678</v>
      </c>
      <c r="C581" t="s">
        <v>679</v>
      </c>
      <c r="D581" t="s">
        <v>1601</v>
      </c>
      <c r="E581" t="str">
        <f>_xlfn.IFNA(INDEX(RETAIL__29[Nhóm KH], MATCH(DS_Khach_hang[[#This Row],[TÀI KHOẢN LƯU KÝ]], RETAIL__29[Số TK lưu ký KH], 0)) &amp; "", "")</f>
        <v>Standard</v>
      </c>
      <c r="F581" t="str">
        <f>_xlfn.IFNA(INDEX(RETAIL__29[Loại TK], MATCH(DS_Khach_hang[[#This Row],[TÀI KHOẢN LƯU KÝ]], RETAIL__29[Số TK lưu ký KH], 0)) &amp; "", "")</f>
        <v>RETAIL</v>
      </c>
    </row>
    <row r="582" spans="1:6" hidden="1" x14ac:dyDescent="0.25">
      <c r="A582" t="s">
        <v>621</v>
      </c>
      <c r="B582" t="s">
        <v>680</v>
      </c>
      <c r="C582" t="s">
        <v>681</v>
      </c>
      <c r="D582" t="s">
        <v>1602</v>
      </c>
      <c r="E582" t="str">
        <f>_xlfn.IFNA(INDEX(RETAIL__29[Nhóm KH], MATCH(DS_Khach_hang[[#This Row],[TÀI KHOẢN LƯU KÝ]], RETAIL__29[Số TK lưu ký KH], 0)) &amp; "", "")</f>
        <v>Standard</v>
      </c>
      <c r="F582" t="str">
        <f>_xlfn.IFNA(INDEX(RETAIL__29[Loại TK], MATCH(DS_Khach_hang[[#This Row],[TÀI KHOẢN LƯU KÝ]], RETAIL__29[Số TK lưu ký KH], 0)) &amp; "", "")</f>
        <v>RETAIL</v>
      </c>
    </row>
    <row r="583" spans="1:6" hidden="1" x14ac:dyDescent="0.25">
      <c r="A583" t="s">
        <v>621</v>
      </c>
      <c r="B583" t="s">
        <v>680</v>
      </c>
      <c r="C583" t="s">
        <v>681</v>
      </c>
      <c r="D583" t="s">
        <v>1603</v>
      </c>
      <c r="E583" t="str">
        <f>_xlfn.IFNA(INDEX(RETAIL__29[Nhóm KH], MATCH(DS_Khach_hang[[#This Row],[TÀI KHOẢN LƯU KÝ]], RETAIL__29[Số TK lưu ký KH], 0)) &amp; "", "")</f>
        <v>Standard</v>
      </c>
      <c r="F583" t="str">
        <f>_xlfn.IFNA(INDEX(RETAIL__29[Loại TK], MATCH(DS_Khach_hang[[#This Row],[TÀI KHOẢN LƯU KÝ]], RETAIL__29[Số TK lưu ký KH], 0)) &amp; "", "")</f>
        <v>RETAIL</v>
      </c>
    </row>
    <row r="584" spans="1:6" hidden="1" x14ac:dyDescent="0.25">
      <c r="A584" t="s">
        <v>621</v>
      </c>
      <c r="B584" t="s">
        <v>682</v>
      </c>
      <c r="C584" t="s">
        <v>683</v>
      </c>
      <c r="D584" t="s">
        <v>1604</v>
      </c>
      <c r="E584" t="str">
        <f>_xlfn.IFNA(INDEX(RETAIL__29[Nhóm KH], MATCH(DS_Khach_hang[[#This Row],[TÀI KHOẢN LƯU KÝ]], RETAIL__29[Số TK lưu ký KH], 0)) &amp; "", "")</f>
        <v>Standard</v>
      </c>
      <c r="F584" t="str">
        <f>_xlfn.IFNA(INDEX(RETAIL__29[Loại TK], MATCH(DS_Khach_hang[[#This Row],[TÀI KHOẢN LƯU KÝ]], RETAIL__29[Số TK lưu ký KH], 0)) &amp; "", "")</f>
        <v>RETAIL</v>
      </c>
    </row>
    <row r="585" spans="1:6" hidden="1" x14ac:dyDescent="0.25">
      <c r="A585" t="s">
        <v>621</v>
      </c>
      <c r="B585" t="s">
        <v>682</v>
      </c>
      <c r="C585" t="s">
        <v>683</v>
      </c>
      <c r="D585" t="s">
        <v>1605</v>
      </c>
      <c r="E585" t="str">
        <f>_xlfn.IFNA(INDEX(RETAIL__29[Nhóm KH], MATCH(DS_Khach_hang[[#This Row],[TÀI KHOẢN LƯU KÝ]], RETAIL__29[Số TK lưu ký KH], 0)) &amp; "", "")</f>
        <v>Standard</v>
      </c>
      <c r="F585" t="str">
        <f>_xlfn.IFNA(INDEX(RETAIL__29[Loại TK], MATCH(DS_Khach_hang[[#This Row],[TÀI KHOẢN LƯU KÝ]], RETAIL__29[Số TK lưu ký KH], 0)) &amp; "", "")</f>
        <v>RETAIL</v>
      </c>
    </row>
    <row r="586" spans="1:6" hidden="1" x14ac:dyDescent="0.25">
      <c r="A586" t="s">
        <v>621</v>
      </c>
      <c r="B586" t="s">
        <v>684</v>
      </c>
      <c r="C586" t="s">
        <v>685</v>
      </c>
      <c r="D586" t="s">
        <v>1606</v>
      </c>
      <c r="E586" t="str">
        <f>_xlfn.IFNA(INDEX(RETAIL__29[Nhóm KH], MATCH(DS_Khach_hang[[#This Row],[TÀI KHOẢN LƯU KÝ]], RETAIL__29[Số TK lưu ký KH], 0)) &amp; "", "")</f>
        <v>Standard</v>
      </c>
      <c r="F586" t="str">
        <f>_xlfn.IFNA(INDEX(RETAIL__29[Loại TK], MATCH(DS_Khach_hang[[#This Row],[TÀI KHOẢN LƯU KÝ]], RETAIL__29[Số TK lưu ký KH], 0)) &amp; "", "")</f>
        <v>RETAIL</v>
      </c>
    </row>
    <row r="587" spans="1:6" hidden="1" x14ac:dyDescent="0.25">
      <c r="A587" t="s">
        <v>621</v>
      </c>
      <c r="B587" t="s">
        <v>684</v>
      </c>
      <c r="C587" t="s">
        <v>685</v>
      </c>
      <c r="D587" t="s">
        <v>1607</v>
      </c>
      <c r="E587" t="str">
        <f>_xlfn.IFNA(INDEX(RETAIL__29[Nhóm KH], MATCH(DS_Khach_hang[[#This Row],[TÀI KHOẢN LƯU KÝ]], RETAIL__29[Số TK lưu ký KH], 0)) &amp; "", "")</f>
        <v>Standard</v>
      </c>
      <c r="F587" t="str">
        <f>_xlfn.IFNA(INDEX(RETAIL__29[Loại TK], MATCH(DS_Khach_hang[[#This Row],[TÀI KHOẢN LƯU KÝ]], RETAIL__29[Số TK lưu ký KH], 0)) &amp; "", "")</f>
        <v>RETAIL</v>
      </c>
    </row>
    <row r="588" spans="1:6" hidden="1" x14ac:dyDescent="0.25">
      <c r="A588" t="s">
        <v>621</v>
      </c>
      <c r="B588" t="s">
        <v>686</v>
      </c>
      <c r="C588" t="s">
        <v>687</v>
      </c>
      <c r="D588" t="s">
        <v>1608</v>
      </c>
      <c r="E588" t="str">
        <f>_xlfn.IFNA(INDEX(RETAIL__29[Nhóm KH], MATCH(DS_Khach_hang[[#This Row],[TÀI KHOẢN LƯU KÝ]], RETAIL__29[Số TK lưu ký KH], 0)) &amp; "", "")</f>
        <v>Standard</v>
      </c>
      <c r="F588" t="str">
        <f>_xlfn.IFNA(INDEX(RETAIL__29[Loại TK], MATCH(DS_Khach_hang[[#This Row],[TÀI KHOẢN LƯU KÝ]], RETAIL__29[Số TK lưu ký KH], 0)) &amp; "", "")</f>
        <v>RETAIL</v>
      </c>
    </row>
    <row r="589" spans="1:6" hidden="1" x14ac:dyDescent="0.25">
      <c r="A589" t="s">
        <v>621</v>
      </c>
      <c r="B589" t="s">
        <v>686</v>
      </c>
      <c r="C589" t="s">
        <v>687</v>
      </c>
      <c r="D589" t="s">
        <v>1609</v>
      </c>
      <c r="E589" t="str">
        <f>_xlfn.IFNA(INDEX(RETAIL__29[Nhóm KH], MATCH(DS_Khach_hang[[#This Row],[TÀI KHOẢN LƯU KÝ]], RETAIL__29[Số TK lưu ký KH], 0)) &amp; "", "")</f>
        <v>Standard</v>
      </c>
      <c r="F589" t="str">
        <f>_xlfn.IFNA(INDEX(RETAIL__29[Loại TK], MATCH(DS_Khach_hang[[#This Row],[TÀI KHOẢN LƯU KÝ]], RETAIL__29[Số TK lưu ký KH], 0)) &amp; "", "")</f>
        <v>RETAIL</v>
      </c>
    </row>
    <row r="590" spans="1:6" hidden="1" x14ac:dyDescent="0.25">
      <c r="A590" t="s">
        <v>621</v>
      </c>
      <c r="B590" t="s">
        <v>688</v>
      </c>
      <c r="C590" t="s">
        <v>689</v>
      </c>
      <c r="D590" t="s">
        <v>1610</v>
      </c>
      <c r="E590" t="str">
        <f>_xlfn.IFNA(INDEX(RETAIL__29[Nhóm KH], MATCH(DS_Khach_hang[[#This Row],[TÀI KHOẢN LƯU KÝ]], RETAIL__29[Số TK lưu ký KH], 0)) &amp; "", "")</f>
        <v>Standard</v>
      </c>
      <c r="F590" t="str">
        <f>_xlfn.IFNA(INDEX(RETAIL__29[Loại TK], MATCH(DS_Khach_hang[[#This Row],[TÀI KHOẢN LƯU KÝ]], RETAIL__29[Số TK lưu ký KH], 0)) &amp; "", "")</f>
        <v>RETAIL</v>
      </c>
    </row>
    <row r="591" spans="1:6" hidden="1" x14ac:dyDescent="0.25">
      <c r="A591" t="s">
        <v>621</v>
      </c>
      <c r="B591" t="s">
        <v>688</v>
      </c>
      <c r="C591" t="s">
        <v>689</v>
      </c>
      <c r="D591" t="s">
        <v>1611</v>
      </c>
      <c r="E591" t="str">
        <f>_xlfn.IFNA(INDEX(RETAIL__29[Nhóm KH], MATCH(DS_Khach_hang[[#This Row],[TÀI KHOẢN LƯU KÝ]], RETAIL__29[Số TK lưu ký KH], 0)) &amp; "", "")</f>
        <v>Standard</v>
      </c>
      <c r="F591" t="str">
        <f>_xlfn.IFNA(INDEX(RETAIL__29[Loại TK], MATCH(DS_Khach_hang[[#This Row],[TÀI KHOẢN LƯU KÝ]], RETAIL__29[Số TK lưu ký KH], 0)) &amp; "", "")</f>
        <v>RETAIL</v>
      </c>
    </row>
    <row r="592" spans="1:6" hidden="1" x14ac:dyDescent="0.25">
      <c r="A592" t="s">
        <v>621</v>
      </c>
      <c r="B592" t="s">
        <v>690</v>
      </c>
      <c r="C592" t="s">
        <v>691</v>
      </c>
      <c r="D592" t="s">
        <v>1612</v>
      </c>
      <c r="E592" t="str">
        <f>_xlfn.IFNA(INDEX(RETAIL__29[Nhóm KH], MATCH(DS_Khach_hang[[#This Row],[TÀI KHOẢN LƯU KÝ]], RETAIL__29[Số TK lưu ký KH], 0)) &amp; "", "")</f>
        <v>Standard</v>
      </c>
      <c r="F592" t="str">
        <f>_xlfn.IFNA(INDEX(RETAIL__29[Loại TK], MATCH(DS_Khach_hang[[#This Row],[TÀI KHOẢN LƯU KÝ]], RETAIL__29[Số TK lưu ký KH], 0)) &amp; "", "")</f>
        <v>RETAIL</v>
      </c>
    </row>
    <row r="593" spans="1:6" hidden="1" x14ac:dyDescent="0.25">
      <c r="A593" t="s">
        <v>621</v>
      </c>
      <c r="B593" t="s">
        <v>690</v>
      </c>
      <c r="C593" t="s">
        <v>691</v>
      </c>
      <c r="D593" t="s">
        <v>1613</v>
      </c>
      <c r="E593" t="str">
        <f>_xlfn.IFNA(INDEX(RETAIL__29[Nhóm KH], MATCH(DS_Khach_hang[[#This Row],[TÀI KHOẢN LƯU KÝ]], RETAIL__29[Số TK lưu ký KH], 0)) &amp; "", "")</f>
        <v>Standard</v>
      </c>
      <c r="F593" t="str">
        <f>_xlfn.IFNA(INDEX(RETAIL__29[Loại TK], MATCH(DS_Khach_hang[[#This Row],[TÀI KHOẢN LƯU KÝ]], RETAIL__29[Số TK lưu ký KH], 0)) &amp; "", "")</f>
        <v>RETAIL</v>
      </c>
    </row>
    <row r="594" spans="1:6" hidden="1" x14ac:dyDescent="0.25">
      <c r="A594" t="s">
        <v>621</v>
      </c>
      <c r="B594" t="s">
        <v>695</v>
      </c>
      <c r="C594" t="s">
        <v>696</v>
      </c>
      <c r="D594" t="s">
        <v>1614</v>
      </c>
      <c r="E594" t="str">
        <f>_xlfn.IFNA(INDEX(RETAIL__29[Nhóm KH], MATCH(DS_Khach_hang[[#This Row],[TÀI KHOẢN LƯU KÝ]], RETAIL__29[Số TK lưu ký KH], 0)) &amp; "", "")</f>
        <v>Standard</v>
      </c>
      <c r="F594" t="str">
        <f>_xlfn.IFNA(INDEX(RETAIL__29[Loại TK], MATCH(DS_Khach_hang[[#This Row],[TÀI KHOẢN LƯU KÝ]], RETAIL__29[Số TK lưu ký KH], 0)) &amp; "", "")</f>
        <v>RETAIL</v>
      </c>
    </row>
    <row r="595" spans="1:6" hidden="1" x14ac:dyDescent="0.25">
      <c r="A595" t="s">
        <v>621</v>
      </c>
      <c r="B595" t="s">
        <v>695</v>
      </c>
      <c r="C595" t="s">
        <v>696</v>
      </c>
      <c r="D595" t="s">
        <v>1615</v>
      </c>
      <c r="E595" t="str">
        <f>_xlfn.IFNA(INDEX(RETAIL__29[Nhóm KH], MATCH(DS_Khach_hang[[#This Row],[TÀI KHOẢN LƯU KÝ]], RETAIL__29[Số TK lưu ký KH], 0)) &amp; "", "")</f>
        <v>Standard</v>
      </c>
      <c r="F595" t="str">
        <f>_xlfn.IFNA(INDEX(RETAIL__29[Loại TK], MATCH(DS_Khach_hang[[#This Row],[TÀI KHOẢN LƯU KÝ]], RETAIL__29[Số TK lưu ký KH], 0)) &amp; "", "")</f>
        <v>RETAIL</v>
      </c>
    </row>
    <row r="596" spans="1:6" hidden="1" x14ac:dyDescent="0.25">
      <c r="A596" t="s">
        <v>621</v>
      </c>
      <c r="B596" t="s">
        <v>697</v>
      </c>
      <c r="C596" t="s">
        <v>698</v>
      </c>
      <c r="D596" t="s">
        <v>1616</v>
      </c>
      <c r="E596" t="str">
        <f>_xlfn.IFNA(INDEX(RETAIL__29[Nhóm KH], MATCH(DS_Khach_hang[[#This Row],[TÀI KHOẢN LƯU KÝ]], RETAIL__29[Số TK lưu ký KH], 0)) &amp; "", "")</f>
        <v>Standard</v>
      </c>
      <c r="F596" t="str">
        <f>_xlfn.IFNA(INDEX(RETAIL__29[Loại TK], MATCH(DS_Khach_hang[[#This Row],[TÀI KHOẢN LƯU KÝ]], RETAIL__29[Số TK lưu ký KH], 0)) &amp; "", "")</f>
        <v>RETAIL</v>
      </c>
    </row>
    <row r="597" spans="1:6" hidden="1" x14ac:dyDescent="0.25">
      <c r="A597" t="s">
        <v>621</v>
      </c>
      <c r="B597" t="s">
        <v>697</v>
      </c>
      <c r="C597" t="s">
        <v>698</v>
      </c>
      <c r="D597" t="s">
        <v>1617</v>
      </c>
      <c r="E597" t="str">
        <f>_xlfn.IFNA(INDEX(RETAIL__29[Nhóm KH], MATCH(DS_Khach_hang[[#This Row],[TÀI KHOẢN LƯU KÝ]], RETAIL__29[Số TK lưu ký KH], 0)) &amp; "", "")</f>
        <v>Standard</v>
      </c>
      <c r="F597" t="str">
        <f>_xlfn.IFNA(INDEX(RETAIL__29[Loại TK], MATCH(DS_Khach_hang[[#This Row],[TÀI KHOẢN LƯU KÝ]], RETAIL__29[Số TK lưu ký KH], 0)) &amp; "", "")</f>
        <v>RETAIL</v>
      </c>
    </row>
    <row r="598" spans="1:6" hidden="1" x14ac:dyDescent="0.25">
      <c r="A598" t="s">
        <v>621</v>
      </c>
      <c r="B598" t="s">
        <v>699</v>
      </c>
      <c r="C598" t="s">
        <v>700</v>
      </c>
      <c r="D598" t="s">
        <v>1618</v>
      </c>
      <c r="E598" t="str">
        <f>_xlfn.IFNA(INDEX(RETAIL__29[Nhóm KH], MATCH(DS_Khach_hang[[#This Row],[TÀI KHOẢN LƯU KÝ]], RETAIL__29[Số TK lưu ký KH], 0)) &amp; "", "")</f>
        <v>Standard</v>
      </c>
      <c r="F598" t="str">
        <f>_xlfn.IFNA(INDEX(RETAIL__29[Loại TK], MATCH(DS_Khach_hang[[#This Row],[TÀI KHOẢN LƯU KÝ]], RETAIL__29[Số TK lưu ký KH], 0)) &amp; "", "")</f>
        <v>RETAIL</v>
      </c>
    </row>
    <row r="599" spans="1:6" hidden="1" x14ac:dyDescent="0.25">
      <c r="A599" t="s">
        <v>621</v>
      </c>
      <c r="B599" t="s">
        <v>699</v>
      </c>
      <c r="C599" t="s">
        <v>700</v>
      </c>
      <c r="D599" t="s">
        <v>1619</v>
      </c>
      <c r="E599" t="str">
        <f>_xlfn.IFNA(INDEX(RETAIL__29[Nhóm KH], MATCH(DS_Khach_hang[[#This Row],[TÀI KHOẢN LƯU KÝ]], RETAIL__29[Số TK lưu ký KH], 0)) &amp; "", "")</f>
        <v>Standard</v>
      </c>
      <c r="F599" t="str">
        <f>_xlfn.IFNA(INDEX(RETAIL__29[Loại TK], MATCH(DS_Khach_hang[[#This Row],[TÀI KHOẢN LƯU KÝ]], RETAIL__29[Số TK lưu ký KH], 0)) &amp; "", "")</f>
        <v>RETAIL</v>
      </c>
    </row>
    <row r="600" spans="1:6" hidden="1" x14ac:dyDescent="0.25">
      <c r="A600" t="s">
        <v>621</v>
      </c>
      <c r="B600" t="s">
        <v>701</v>
      </c>
      <c r="C600" t="s">
        <v>702</v>
      </c>
      <c r="D600" t="s">
        <v>1620</v>
      </c>
      <c r="E600" t="str">
        <f>_xlfn.IFNA(INDEX(RETAIL__29[Nhóm KH], MATCH(DS_Khach_hang[[#This Row],[TÀI KHOẢN LƯU KÝ]], RETAIL__29[Số TK lưu ký KH], 0)) &amp; "", "")</f>
        <v>Standard</v>
      </c>
      <c r="F600" t="str">
        <f>_xlfn.IFNA(INDEX(RETAIL__29[Loại TK], MATCH(DS_Khach_hang[[#This Row],[TÀI KHOẢN LƯU KÝ]], RETAIL__29[Số TK lưu ký KH], 0)) &amp; "", "")</f>
        <v>RETAIL</v>
      </c>
    </row>
    <row r="601" spans="1:6" hidden="1" x14ac:dyDescent="0.25">
      <c r="A601" t="s">
        <v>621</v>
      </c>
      <c r="B601" t="s">
        <v>701</v>
      </c>
      <c r="C601" t="s">
        <v>702</v>
      </c>
      <c r="D601" t="s">
        <v>1621</v>
      </c>
      <c r="E601" t="str">
        <f>_xlfn.IFNA(INDEX(RETAIL__29[Nhóm KH], MATCH(DS_Khach_hang[[#This Row],[TÀI KHOẢN LƯU KÝ]], RETAIL__29[Số TK lưu ký KH], 0)) &amp; "", "")</f>
        <v>Standard</v>
      </c>
      <c r="F601" t="str">
        <f>_xlfn.IFNA(INDEX(RETAIL__29[Loại TK], MATCH(DS_Khach_hang[[#This Row],[TÀI KHOẢN LƯU KÝ]], RETAIL__29[Số TK lưu ký KH], 0)) &amp; "", "")</f>
        <v>RETAIL</v>
      </c>
    </row>
    <row r="602" spans="1:6" hidden="1" x14ac:dyDescent="0.25">
      <c r="A602" t="s">
        <v>621</v>
      </c>
      <c r="B602" t="s">
        <v>704</v>
      </c>
      <c r="C602" t="s">
        <v>705</v>
      </c>
      <c r="D602" t="s">
        <v>1622</v>
      </c>
      <c r="E602" t="str">
        <f>_xlfn.IFNA(INDEX(RETAIL__29[Nhóm KH], MATCH(DS_Khach_hang[[#This Row],[TÀI KHOẢN LƯU KÝ]], RETAIL__29[Số TK lưu ký KH], 0)) &amp; "", "")</f>
        <v>Standard</v>
      </c>
      <c r="F602" t="str">
        <f>_xlfn.IFNA(INDEX(RETAIL__29[Loại TK], MATCH(DS_Khach_hang[[#This Row],[TÀI KHOẢN LƯU KÝ]], RETAIL__29[Số TK lưu ký KH], 0)) &amp; "", "")</f>
        <v>RETAIL</v>
      </c>
    </row>
    <row r="603" spans="1:6" hidden="1" x14ac:dyDescent="0.25">
      <c r="A603" t="s">
        <v>621</v>
      </c>
      <c r="B603" t="s">
        <v>704</v>
      </c>
      <c r="C603" t="s">
        <v>705</v>
      </c>
      <c r="D603" t="s">
        <v>1623</v>
      </c>
      <c r="E603" t="str">
        <f>_xlfn.IFNA(INDEX(RETAIL__29[Nhóm KH], MATCH(DS_Khach_hang[[#This Row],[TÀI KHOẢN LƯU KÝ]], RETAIL__29[Số TK lưu ký KH], 0)) &amp; "", "")</f>
        <v>Standard</v>
      </c>
      <c r="F603" t="str">
        <f>_xlfn.IFNA(INDEX(RETAIL__29[Loại TK], MATCH(DS_Khach_hang[[#This Row],[TÀI KHOẢN LƯU KÝ]], RETAIL__29[Số TK lưu ký KH], 0)) &amp; "", "")</f>
        <v>RETAIL</v>
      </c>
    </row>
    <row r="604" spans="1:6" hidden="1" x14ac:dyDescent="0.25">
      <c r="A604" t="s">
        <v>621</v>
      </c>
      <c r="B604" t="s">
        <v>706</v>
      </c>
      <c r="C604" t="s">
        <v>707</v>
      </c>
      <c r="D604" t="s">
        <v>1624</v>
      </c>
      <c r="E604" t="str">
        <f>_xlfn.IFNA(INDEX(RETAIL__29[Nhóm KH], MATCH(DS_Khach_hang[[#This Row],[TÀI KHOẢN LƯU KÝ]], RETAIL__29[Số TK lưu ký KH], 0)) &amp; "", "")</f>
        <v>Standard</v>
      </c>
      <c r="F604" t="str">
        <f>_xlfn.IFNA(INDEX(RETAIL__29[Loại TK], MATCH(DS_Khach_hang[[#This Row],[TÀI KHOẢN LƯU KÝ]], RETAIL__29[Số TK lưu ký KH], 0)) &amp; "", "")</f>
        <v>RETAIL</v>
      </c>
    </row>
    <row r="605" spans="1:6" hidden="1" x14ac:dyDescent="0.25">
      <c r="A605" t="s">
        <v>621</v>
      </c>
      <c r="B605" t="s">
        <v>706</v>
      </c>
      <c r="C605" t="s">
        <v>707</v>
      </c>
      <c r="D605" t="s">
        <v>1625</v>
      </c>
      <c r="E605" t="str">
        <f>_xlfn.IFNA(INDEX(RETAIL__29[Nhóm KH], MATCH(DS_Khach_hang[[#This Row],[TÀI KHOẢN LƯU KÝ]], RETAIL__29[Số TK lưu ký KH], 0)) &amp; "", "")</f>
        <v>Standard</v>
      </c>
      <c r="F605" t="str">
        <f>_xlfn.IFNA(INDEX(RETAIL__29[Loại TK], MATCH(DS_Khach_hang[[#This Row],[TÀI KHOẢN LƯU KÝ]], RETAIL__29[Số TK lưu ký KH], 0)) &amp; "", "")</f>
        <v>RETAIL</v>
      </c>
    </row>
    <row r="606" spans="1:6" hidden="1" x14ac:dyDescent="0.25">
      <c r="A606" t="s">
        <v>621</v>
      </c>
      <c r="B606" t="s">
        <v>708</v>
      </c>
      <c r="C606" t="s">
        <v>709</v>
      </c>
      <c r="D606" t="s">
        <v>1626</v>
      </c>
      <c r="E606" t="str">
        <f>_xlfn.IFNA(INDEX(RETAIL__29[Nhóm KH], MATCH(DS_Khach_hang[[#This Row],[TÀI KHOẢN LƯU KÝ]], RETAIL__29[Số TK lưu ký KH], 0)) &amp; "", "")</f>
        <v>Standard</v>
      </c>
      <c r="F606" t="str">
        <f>_xlfn.IFNA(INDEX(RETAIL__29[Loại TK], MATCH(DS_Khach_hang[[#This Row],[TÀI KHOẢN LƯU KÝ]], RETAIL__29[Số TK lưu ký KH], 0)) &amp; "", "")</f>
        <v>RETAIL</v>
      </c>
    </row>
    <row r="607" spans="1:6" hidden="1" x14ac:dyDescent="0.25">
      <c r="A607" t="s">
        <v>621</v>
      </c>
      <c r="B607" t="s">
        <v>708</v>
      </c>
      <c r="C607" t="s">
        <v>709</v>
      </c>
      <c r="D607" t="s">
        <v>1627</v>
      </c>
      <c r="E607" t="str">
        <f>_xlfn.IFNA(INDEX(RETAIL__29[Nhóm KH], MATCH(DS_Khach_hang[[#This Row],[TÀI KHOẢN LƯU KÝ]], RETAIL__29[Số TK lưu ký KH], 0)) &amp; "", "")</f>
        <v>Standard</v>
      </c>
      <c r="F607" t="str">
        <f>_xlfn.IFNA(INDEX(RETAIL__29[Loại TK], MATCH(DS_Khach_hang[[#This Row],[TÀI KHOẢN LƯU KÝ]], RETAIL__29[Số TK lưu ký KH], 0)) &amp; "", "")</f>
        <v>RETAIL</v>
      </c>
    </row>
    <row r="608" spans="1:6" hidden="1" x14ac:dyDescent="0.25">
      <c r="A608" t="s">
        <v>621</v>
      </c>
      <c r="B608" t="s">
        <v>716</v>
      </c>
      <c r="C608" t="s">
        <v>717</v>
      </c>
      <c r="D608" t="s">
        <v>1628</v>
      </c>
      <c r="E608" t="str">
        <f>_xlfn.IFNA(INDEX(RETAIL__29[Nhóm KH], MATCH(DS_Khach_hang[[#This Row],[TÀI KHOẢN LƯU KÝ]], RETAIL__29[Số TK lưu ký KH], 0)) &amp; "", "")</f>
        <v>Standard</v>
      </c>
      <c r="F608" t="str">
        <f>_xlfn.IFNA(INDEX(RETAIL__29[Loại TK], MATCH(DS_Khach_hang[[#This Row],[TÀI KHOẢN LƯU KÝ]], RETAIL__29[Số TK lưu ký KH], 0)) &amp; "", "")</f>
        <v>RETAIL</v>
      </c>
    </row>
    <row r="609" spans="1:6" hidden="1" x14ac:dyDescent="0.25">
      <c r="A609" t="s">
        <v>621</v>
      </c>
      <c r="B609" t="s">
        <v>716</v>
      </c>
      <c r="C609" t="s">
        <v>717</v>
      </c>
      <c r="D609" t="s">
        <v>1629</v>
      </c>
      <c r="E609" t="str">
        <f>_xlfn.IFNA(INDEX(RETAIL__29[Nhóm KH], MATCH(DS_Khach_hang[[#This Row],[TÀI KHOẢN LƯU KÝ]], RETAIL__29[Số TK lưu ký KH], 0)) &amp; "", "")</f>
        <v>Standard</v>
      </c>
      <c r="F609" t="str">
        <f>_xlfn.IFNA(INDEX(RETAIL__29[Loại TK], MATCH(DS_Khach_hang[[#This Row],[TÀI KHOẢN LƯU KÝ]], RETAIL__29[Số TK lưu ký KH], 0)) &amp; "", "")</f>
        <v>RETAIL</v>
      </c>
    </row>
    <row r="610" spans="1:6" hidden="1" x14ac:dyDescent="0.25">
      <c r="A610" t="s">
        <v>621</v>
      </c>
      <c r="B610" t="s">
        <v>728</v>
      </c>
      <c r="C610" t="s">
        <v>729</v>
      </c>
      <c r="D610" t="s">
        <v>1630</v>
      </c>
      <c r="E610" t="str">
        <f>_xlfn.IFNA(INDEX(RETAIL__29[Nhóm KH], MATCH(DS_Khach_hang[[#This Row],[TÀI KHOẢN LƯU KÝ]], RETAIL__29[Số TK lưu ký KH], 0)) &amp; "", "")</f>
        <v>Standard</v>
      </c>
      <c r="F610" t="str">
        <f>_xlfn.IFNA(INDEX(RETAIL__29[Loại TK], MATCH(DS_Khach_hang[[#This Row],[TÀI KHOẢN LƯU KÝ]], RETAIL__29[Số TK lưu ký KH], 0)) &amp; "", "")</f>
        <v>RETAIL</v>
      </c>
    </row>
    <row r="611" spans="1:6" hidden="1" x14ac:dyDescent="0.25">
      <c r="A611" t="s">
        <v>621</v>
      </c>
      <c r="B611" t="s">
        <v>728</v>
      </c>
      <c r="C611" t="s">
        <v>729</v>
      </c>
      <c r="D611" t="s">
        <v>1631</v>
      </c>
      <c r="E611" t="str">
        <f>_xlfn.IFNA(INDEX(RETAIL__29[Nhóm KH], MATCH(DS_Khach_hang[[#This Row],[TÀI KHOẢN LƯU KÝ]], RETAIL__29[Số TK lưu ký KH], 0)) &amp; "", "")</f>
        <v>Standard</v>
      </c>
      <c r="F611" t="str">
        <f>_xlfn.IFNA(INDEX(RETAIL__29[Loại TK], MATCH(DS_Khach_hang[[#This Row],[TÀI KHOẢN LƯU KÝ]], RETAIL__29[Số TK lưu ký KH], 0)) &amp; "", "")</f>
        <v>RETAIL</v>
      </c>
    </row>
    <row r="612" spans="1:6" hidden="1" x14ac:dyDescent="0.25">
      <c r="A612" t="s">
        <v>621</v>
      </c>
      <c r="B612" t="s">
        <v>748</v>
      </c>
      <c r="C612" t="s">
        <v>749</v>
      </c>
      <c r="D612" t="s">
        <v>1632</v>
      </c>
      <c r="E612" t="str">
        <f>_xlfn.IFNA(INDEX(RETAIL__29[Nhóm KH], MATCH(DS_Khach_hang[[#This Row],[TÀI KHOẢN LƯU KÝ]], RETAIL__29[Số TK lưu ký KH], 0)) &amp; "", "")</f>
        <v>Standard</v>
      </c>
      <c r="F612" t="str">
        <f>_xlfn.IFNA(INDEX(RETAIL__29[Loại TK], MATCH(DS_Khach_hang[[#This Row],[TÀI KHOẢN LƯU KÝ]], RETAIL__29[Số TK lưu ký KH], 0)) &amp; "", "")</f>
        <v>RETAIL</v>
      </c>
    </row>
    <row r="613" spans="1:6" hidden="1" x14ac:dyDescent="0.25">
      <c r="A613" t="s">
        <v>621</v>
      </c>
      <c r="B613" t="s">
        <v>748</v>
      </c>
      <c r="C613" t="s">
        <v>749</v>
      </c>
      <c r="D613" t="s">
        <v>1633</v>
      </c>
      <c r="E613" t="str">
        <f>_xlfn.IFNA(INDEX(RETAIL__29[Nhóm KH], MATCH(DS_Khach_hang[[#This Row],[TÀI KHOẢN LƯU KÝ]], RETAIL__29[Số TK lưu ký KH], 0)) &amp; "", "")</f>
        <v>Standard</v>
      </c>
      <c r="F613" t="str">
        <f>_xlfn.IFNA(INDEX(RETAIL__29[Loại TK], MATCH(DS_Khach_hang[[#This Row],[TÀI KHOẢN LƯU KÝ]], RETAIL__29[Số TK lưu ký KH], 0)) &amp; "", "")</f>
        <v>RETAIL</v>
      </c>
    </row>
    <row r="614" spans="1:6" hidden="1" x14ac:dyDescent="0.25">
      <c r="A614" t="s">
        <v>621</v>
      </c>
      <c r="B614" t="s">
        <v>750</v>
      </c>
      <c r="C614" t="s">
        <v>751</v>
      </c>
      <c r="D614" t="s">
        <v>1634</v>
      </c>
      <c r="E614" t="str">
        <f>_xlfn.IFNA(INDEX(RETAIL__29[Nhóm KH], MATCH(DS_Khach_hang[[#This Row],[TÀI KHOẢN LƯU KÝ]], RETAIL__29[Số TK lưu ký KH], 0)) &amp; "", "")</f>
        <v>Standard</v>
      </c>
      <c r="F614" t="str">
        <f>_xlfn.IFNA(INDEX(RETAIL__29[Loại TK], MATCH(DS_Khach_hang[[#This Row],[TÀI KHOẢN LƯU KÝ]], RETAIL__29[Số TK lưu ký KH], 0)) &amp; "", "")</f>
        <v>RETAIL</v>
      </c>
    </row>
    <row r="615" spans="1:6" hidden="1" x14ac:dyDescent="0.25">
      <c r="A615" t="s">
        <v>621</v>
      </c>
      <c r="B615" t="s">
        <v>750</v>
      </c>
      <c r="C615" t="s">
        <v>751</v>
      </c>
      <c r="D615" t="s">
        <v>1635</v>
      </c>
      <c r="E615" t="str">
        <f>_xlfn.IFNA(INDEX(RETAIL__29[Nhóm KH], MATCH(DS_Khach_hang[[#This Row],[TÀI KHOẢN LƯU KÝ]], RETAIL__29[Số TK lưu ký KH], 0)) &amp; "", "")</f>
        <v>Standard</v>
      </c>
      <c r="F615" t="str">
        <f>_xlfn.IFNA(INDEX(RETAIL__29[Loại TK], MATCH(DS_Khach_hang[[#This Row],[TÀI KHOẢN LƯU KÝ]], RETAIL__29[Số TK lưu ký KH], 0)) &amp; "", "")</f>
        <v>RETAIL</v>
      </c>
    </row>
    <row r="616" spans="1:6" hidden="1" x14ac:dyDescent="0.25">
      <c r="A616" t="s">
        <v>621</v>
      </c>
      <c r="B616" t="s">
        <v>754</v>
      </c>
      <c r="C616" t="s">
        <v>755</v>
      </c>
      <c r="D616" t="s">
        <v>1636</v>
      </c>
      <c r="E616" t="str">
        <f>_xlfn.IFNA(INDEX(RETAIL__29[Nhóm KH], MATCH(DS_Khach_hang[[#This Row],[TÀI KHOẢN LƯU KÝ]], RETAIL__29[Số TK lưu ký KH], 0)) &amp; "", "")</f>
        <v>Standard</v>
      </c>
      <c r="F616" t="str">
        <f>_xlfn.IFNA(INDEX(RETAIL__29[Loại TK], MATCH(DS_Khach_hang[[#This Row],[TÀI KHOẢN LƯU KÝ]], RETAIL__29[Số TK lưu ký KH], 0)) &amp; "", "")</f>
        <v>RETAIL</v>
      </c>
    </row>
    <row r="617" spans="1:6" hidden="1" x14ac:dyDescent="0.25">
      <c r="A617" t="s">
        <v>621</v>
      </c>
      <c r="B617" t="s">
        <v>754</v>
      </c>
      <c r="C617" t="s">
        <v>755</v>
      </c>
      <c r="D617" t="s">
        <v>1637</v>
      </c>
      <c r="E617" t="str">
        <f>_xlfn.IFNA(INDEX(RETAIL__29[Nhóm KH], MATCH(DS_Khach_hang[[#This Row],[TÀI KHOẢN LƯU KÝ]], RETAIL__29[Số TK lưu ký KH], 0)) &amp; "", "")</f>
        <v>Standard</v>
      </c>
      <c r="F617" t="str">
        <f>_xlfn.IFNA(INDEX(RETAIL__29[Loại TK], MATCH(DS_Khach_hang[[#This Row],[TÀI KHOẢN LƯU KÝ]], RETAIL__29[Số TK lưu ký KH], 0)) &amp; "", "")</f>
        <v>RETAIL</v>
      </c>
    </row>
    <row r="618" spans="1:6" hidden="1" x14ac:dyDescent="0.25">
      <c r="A618" t="s">
        <v>621</v>
      </c>
      <c r="B618" t="s">
        <v>756</v>
      </c>
      <c r="C618" t="s">
        <v>757</v>
      </c>
      <c r="D618" t="s">
        <v>1638</v>
      </c>
      <c r="E618" t="str">
        <f>_xlfn.IFNA(INDEX(RETAIL__29[Nhóm KH], MATCH(DS_Khach_hang[[#This Row],[TÀI KHOẢN LƯU KÝ]], RETAIL__29[Số TK lưu ký KH], 0)) &amp; "", "")</f>
        <v>Standard</v>
      </c>
      <c r="F618" t="str">
        <f>_xlfn.IFNA(INDEX(RETAIL__29[Loại TK], MATCH(DS_Khach_hang[[#This Row],[TÀI KHOẢN LƯU KÝ]], RETAIL__29[Số TK lưu ký KH], 0)) &amp; "", "")</f>
        <v>RETAIL</v>
      </c>
    </row>
    <row r="619" spans="1:6" hidden="1" x14ac:dyDescent="0.25">
      <c r="A619" t="s">
        <v>621</v>
      </c>
      <c r="B619" t="s">
        <v>756</v>
      </c>
      <c r="C619" t="s">
        <v>757</v>
      </c>
      <c r="D619" t="s">
        <v>1639</v>
      </c>
      <c r="E619" t="str">
        <f>_xlfn.IFNA(INDEX(RETAIL__29[Nhóm KH], MATCH(DS_Khach_hang[[#This Row],[TÀI KHOẢN LƯU KÝ]], RETAIL__29[Số TK lưu ký KH], 0)) &amp; "", "")</f>
        <v>Standard</v>
      </c>
      <c r="F619" t="str">
        <f>_xlfn.IFNA(INDEX(RETAIL__29[Loại TK], MATCH(DS_Khach_hang[[#This Row],[TÀI KHOẢN LƯU KÝ]], RETAIL__29[Số TK lưu ký KH], 0)) &amp; "", "")</f>
        <v>RETAIL</v>
      </c>
    </row>
    <row r="620" spans="1:6" hidden="1" x14ac:dyDescent="0.25">
      <c r="A620" t="s">
        <v>621</v>
      </c>
      <c r="B620" t="s">
        <v>758</v>
      </c>
      <c r="C620" t="s">
        <v>759</v>
      </c>
      <c r="D620" t="s">
        <v>1640</v>
      </c>
      <c r="E620" t="str">
        <f>_xlfn.IFNA(INDEX(RETAIL__29[Nhóm KH], MATCH(DS_Khach_hang[[#This Row],[TÀI KHOẢN LƯU KÝ]], RETAIL__29[Số TK lưu ký KH], 0)) &amp; "", "")</f>
        <v>Standard</v>
      </c>
      <c r="F620" t="str">
        <f>_xlfn.IFNA(INDEX(RETAIL__29[Loại TK], MATCH(DS_Khach_hang[[#This Row],[TÀI KHOẢN LƯU KÝ]], RETAIL__29[Số TK lưu ký KH], 0)) &amp; "", "")</f>
        <v>RETAIL</v>
      </c>
    </row>
    <row r="621" spans="1:6" hidden="1" x14ac:dyDescent="0.25">
      <c r="A621" t="s">
        <v>621</v>
      </c>
      <c r="B621" t="s">
        <v>758</v>
      </c>
      <c r="C621" t="s">
        <v>759</v>
      </c>
      <c r="D621" t="s">
        <v>1641</v>
      </c>
      <c r="E621" t="str">
        <f>_xlfn.IFNA(INDEX(RETAIL__29[Nhóm KH], MATCH(DS_Khach_hang[[#This Row],[TÀI KHOẢN LƯU KÝ]], RETAIL__29[Số TK lưu ký KH], 0)) &amp; "", "")</f>
        <v>Standard</v>
      </c>
      <c r="F621" t="str">
        <f>_xlfn.IFNA(INDEX(RETAIL__29[Loại TK], MATCH(DS_Khach_hang[[#This Row],[TÀI KHOẢN LƯU KÝ]], RETAIL__29[Số TK lưu ký KH], 0)) &amp; "", "")</f>
        <v>RETAIL</v>
      </c>
    </row>
    <row r="622" spans="1:6" hidden="1" x14ac:dyDescent="0.25">
      <c r="A622" t="s">
        <v>621</v>
      </c>
      <c r="B622" t="s">
        <v>760</v>
      </c>
      <c r="C622" t="s">
        <v>761</v>
      </c>
      <c r="D622" t="s">
        <v>1642</v>
      </c>
      <c r="E622" t="str">
        <f>_xlfn.IFNA(INDEX(RETAIL__29[Nhóm KH], MATCH(DS_Khach_hang[[#This Row],[TÀI KHOẢN LƯU KÝ]], RETAIL__29[Số TK lưu ký KH], 0)) &amp; "", "")</f>
        <v>Standard</v>
      </c>
      <c r="F622" t="str">
        <f>_xlfn.IFNA(INDEX(RETAIL__29[Loại TK], MATCH(DS_Khach_hang[[#This Row],[TÀI KHOẢN LƯU KÝ]], RETAIL__29[Số TK lưu ký KH], 0)) &amp; "", "")</f>
        <v>RETAIL</v>
      </c>
    </row>
    <row r="623" spans="1:6" hidden="1" x14ac:dyDescent="0.25">
      <c r="A623" t="s">
        <v>621</v>
      </c>
      <c r="B623" t="s">
        <v>760</v>
      </c>
      <c r="C623" t="s">
        <v>761</v>
      </c>
      <c r="D623" t="s">
        <v>1643</v>
      </c>
      <c r="E623" t="str">
        <f>_xlfn.IFNA(INDEX(RETAIL__29[Nhóm KH], MATCH(DS_Khach_hang[[#This Row],[TÀI KHOẢN LƯU KÝ]], RETAIL__29[Số TK lưu ký KH], 0)) &amp; "", "")</f>
        <v>Standard</v>
      </c>
      <c r="F623" t="str">
        <f>_xlfn.IFNA(INDEX(RETAIL__29[Loại TK], MATCH(DS_Khach_hang[[#This Row],[TÀI KHOẢN LƯU KÝ]], RETAIL__29[Số TK lưu ký KH], 0)) &amp; "", "")</f>
        <v>RETAIL</v>
      </c>
    </row>
    <row r="624" spans="1:6" hidden="1" x14ac:dyDescent="0.25">
      <c r="A624" t="s">
        <v>621</v>
      </c>
      <c r="B624" t="s">
        <v>762</v>
      </c>
      <c r="C624" t="s">
        <v>763</v>
      </c>
      <c r="D624" t="s">
        <v>1644</v>
      </c>
      <c r="E624" t="str">
        <f>_xlfn.IFNA(INDEX(RETAIL__29[Nhóm KH], MATCH(DS_Khach_hang[[#This Row],[TÀI KHOẢN LƯU KÝ]], RETAIL__29[Số TK lưu ký KH], 0)) &amp; "", "")</f>
        <v>Standard</v>
      </c>
      <c r="F624" t="str">
        <f>_xlfn.IFNA(INDEX(RETAIL__29[Loại TK], MATCH(DS_Khach_hang[[#This Row],[TÀI KHOẢN LƯU KÝ]], RETAIL__29[Số TK lưu ký KH], 0)) &amp; "", "")</f>
        <v>RETAIL</v>
      </c>
    </row>
    <row r="625" spans="1:6" hidden="1" x14ac:dyDescent="0.25">
      <c r="A625" t="s">
        <v>621</v>
      </c>
      <c r="B625" t="s">
        <v>762</v>
      </c>
      <c r="C625" t="s">
        <v>763</v>
      </c>
      <c r="D625" t="s">
        <v>1645</v>
      </c>
      <c r="E625" t="str">
        <f>_xlfn.IFNA(INDEX(RETAIL__29[Nhóm KH], MATCH(DS_Khach_hang[[#This Row],[TÀI KHOẢN LƯU KÝ]], RETAIL__29[Số TK lưu ký KH], 0)) &amp; "", "")</f>
        <v>Standard</v>
      </c>
      <c r="F625" t="str">
        <f>_xlfn.IFNA(INDEX(RETAIL__29[Loại TK], MATCH(DS_Khach_hang[[#This Row],[TÀI KHOẢN LƯU KÝ]], RETAIL__29[Số TK lưu ký KH], 0)) &amp; "", "")</f>
        <v>RETAIL</v>
      </c>
    </row>
    <row r="626" spans="1:6" hidden="1" x14ac:dyDescent="0.25">
      <c r="A626" t="s">
        <v>621</v>
      </c>
      <c r="B626" t="s">
        <v>766</v>
      </c>
      <c r="C626" t="s">
        <v>767</v>
      </c>
      <c r="D626" t="s">
        <v>1646</v>
      </c>
      <c r="E626" t="str">
        <f>_xlfn.IFNA(INDEX(RETAIL__29[Nhóm KH], MATCH(DS_Khach_hang[[#This Row],[TÀI KHOẢN LƯU KÝ]], RETAIL__29[Số TK lưu ký KH], 0)) &amp; "", "")</f>
        <v>VIP</v>
      </c>
      <c r="F626" t="str">
        <f>_xlfn.IFNA(INDEX(RETAIL__29[Loại TK], MATCH(DS_Khach_hang[[#This Row],[TÀI KHOẢN LƯU KÝ]], RETAIL__29[Số TK lưu ký KH], 0)) &amp; "", "")</f>
        <v>RETAIL</v>
      </c>
    </row>
    <row r="627" spans="1:6" hidden="1" x14ac:dyDescent="0.25">
      <c r="A627" t="s">
        <v>621</v>
      </c>
      <c r="B627" t="s">
        <v>766</v>
      </c>
      <c r="C627" t="s">
        <v>767</v>
      </c>
      <c r="D627" t="s">
        <v>1647</v>
      </c>
      <c r="E627" t="str">
        <f>_xlfn.IFNA(INDEX(RETAIL__29[Nhóm KH], MATCH(DS_Khach_hang[[#This Row],[TÀI KHOẢN LƯU KÝ]], RETAIL__29[Số TK lưu ký KH], 0)) &amp; "", "")</f>
        <v>VIP</v>
      </c>
      <c r="F627" t="str">
        <f>_xlfn.IFNA(INDEX(RETAIL__29[Loại TK], MATCH(DS_Khach_hang[[#This Row],[TÀI KHOẢN LƯU KÝ]], RETAIL__29[Số TK lưu ký KH], 0)) &amp; "", "")</f>
        <v>RETAIL</v>
      </c>
    </row>
    <row r="628" spans="1:6" hidden="1" x14ac:dyDescent="0.25">
      <c r="A628" t="s">
        <v>621</v>
      </c>
      <c r="B628" t="s">
        <v>768</v>
      </c>
      <c r="C628" t="s">
        <v>769</v>
      </c>
      <c r="D628" t="s">
        <v>1648</v>
      </c>
      <c r="E628" t="str">
        <f>_xlfn.IFNA(INDEX(RETAIL__29[Nhóm KH], MATCH(DS_Khach_hang[[#This Row],[TÀI KHOẢN LƯU KÝ]], RETAIL__29[Số TK lưu ký KH], 0)) &amp; "", "")</f>
        <v>Standard</v>
      </c>
      <c r="F628" t="str">
        <f>_xlfn.IFNA(INDEX(RETAIL__29[Loại TK], MATCH(DS_Khach_hang[[#This Row],[TÀI KHOẢN LƯU KÝ]], RETAIL__29[Số TK lưu ký KH], 0)) &amp; "", "")</f>
        <v>RETAIL</v>
      </c>
    </row>
    <row r="629" spans="1:6" hidden="1" x14ac:dyDescent="0.25">
      <c r="A629" t="s">
        <v>621</v>
      </c>
      <c r="B629" t="s">
        <v>768</v>
      </c>
      <c r="C629" t="s">
        <v>769</v>
      </c>
      <c r="D629" t="s">
        <v>1649</v>
      </c>
      <c r="E629" t="str">
        <f>_xlfn.IFNA(INDEX(RETAIL__29[Nhóm KH], MATCH(DS_Khach_hang[[#This Row],[TÀI KHOẢN LƯU KÝ]], RETAIL__29[Số TK lưu ký KH], 0)) &amp; "", "")</f>
        <v>Standard</v>
      </c>
      <c r="F629" t="str">
        <f>_xlfn.IFNA(INDEX(RETAIL__29[Loại TK], MATCH(DS_Khach_hang[[#This Row],[TÀI KHOẢN LƯU KÝ]], RETAIL__29[Số TK lưu ký KH], 0)) &amp; "", "")</f>
        <v>RETAIL</v>
      </c>
    </row>
    <row r="630" spans="1:6" hidden="1" x14ac:dyDescent="0.25">
      <c r="A630" t="s">
        <v>621</v>
      </c>
      <c r="B630" t="s">
        <v>770</v>
      </c>
      <c r="C630" t="s">
        <v>771</v>
      </c>
      <c r="D630" t="s">
        <v>1650</v>
      </c>
      <c r="E630" t="str">
        <f>_xlfn.IFNA(INDEX(RETAIL__29[Nhóm KH], MATCH(DS_Khach_hang[[#This Row],[TÀI KHOẢN LƯU KÝ]], RETAIL__29[Số TK lưu ký KH], 0)) &amp; "", "")</f>
        <v>Standard</v>
      </c>
      <c r="F630" t="str">
        <f>_xlfn.IFNA(INDEX(RETAIL__29[Loại TK], MATCH(DS_Khach_hang[[#This Row],[TÀI KHOẢN LƯU KÝ]], RETAIL__29[Số TK lưu ký KH], 0)) &amp; "", "")</f>
        <v>RETAIL</v>
      </c>
    </row>
    <row r="631" spans="1:6" hidden="1" x14ac:dyDescent="0.25">
      <c r="A631" t="s">
        <v>621</v>
      </c>
      <c r="B631" t="s">
        <v>770</v>
      </c>
      <c r="C631" t="s">
        <v>771</v>
      </c>
      <c r="D631" t="s">
        <v>1651</v>
      </c>
      <c r="E631" t="str">
        <f>_xlfn.IFNA(INDEX(RETAIL__29[Nhóm KH], MATCH(DS_Khach_hang[[#This Row],[TÀI KHOẢN LƯU KÝ]], RETAIL__29[Số TK lưu ký KH], 0)) &amp; "", "")</f>
        <v>Standard</v>
      </c>
      <c r="F631" t="str">
        <f>_xlfn.IFNA(INDEX(RETAIL__29[Loại TK], MATCH(DS_Khach_hang[[#This Row],[TÀI KHOẢN LƯU KÝ]], RETAIL__29[Số TK lưu ký KH], 0)) &amp; "", "")</f>
        <v>RETAIL</v>
      </c>
    </row>
    <row r="632" spans="1:6" hidden="1" x14ac:dyDescent="0.25">
      <c r="A632" t="s">
        <v>621</v>
      </c>
      <c r="B632" t="s">
        <v>776</v>
      </c>
      <c r="C632" t="s">
        <v>777</v>
      </c>
      <c r="D632" t="s">
        <v>1652</v>
      </c>
      <c r="E632" t="str">
        <f>_xlfn.IFNA(INDEX(RETAIL__29[Nhóm KH], MATCH(DS_Khach_hang[[#This Row],[TÀI KHOẢN LƯU KÝ]], RETAIL__29[Số TK lưu ký KH], 0)) &amp; "", "")</f>
        <v>Standard</v>
      </c>
      <c r="F632" t="str">
        <f>_xlfn.IFNA(INDEX(RETAIL__29[Loại TK], MATCH(DS_Khach_hang[[#This Row],[TÀI KHOẢN LƯU KÝ]], RETAIL__29[Số TK lưu ký KH], 0)) &amp; "", "")</f>
        <v>RETAIL</v>
      </c>
    </row>
    <row r="633" spans="1:6" hidden="1" x14ac:dyDescent="0.25">
      <c r="A633" t="s">
        <v>621</v>
      </c>
      <c r="B633" t="s">
        <v>776</v>
      </c>
      <c r="C633" t="s">
        <v>777</v>
      </c>
      <c r="D633" t="s">
        <v>1653</v>
      </c>
      <c r="E633" t="str">
        <f>_xlfn.IFNA(INDEX(RETAIL__29[Nhóm KH], MATCH(DS_Khach_hang[[#This Row],[TÀI KHOẢN LƯU KÝ]], RETAIL__29[Số TK lưu ký KH], 0)) &amp; "", "")</f>
        <v>Standard</v>
      </c>
      <c r="F633" t="str">
        <f>_xlfn.IFNA(INDEX(RETAIL__29[Loại TK], MATCH(DS_Khach_hang[[#This Row],[TÀI KHOẢN LƯU KÝ]], RETAIL__29[Số TK lưu ký KH], 0)) &amp; "", "")</f>
        <v>RETAIL</v>
      </c>
    </row>
    <row r="634" spans="1:6" hidden="1" x14ac:dyDescent="0.25">
      <c r="A634" t="s">
        <v>621</v>
      </c>
      <c r="B634" t="s">
        <v>778</v>
      </c>
      <c r="C634" t="s">
        <v>779</v>
      </c>
      <c r="D634" t="s">
        <v>1654</v>
      </c>
      <c r="E634" t="str">
        <f>_xlfn.IFNA(INDEX(RETAIL__29[Nhóm KH], MATCH(DS_Khach_hang[[#This Row],[TÀI KHOẢN LƯU KÝ]], RETAIL__29[Số TK lưu ký KH], 0)) &amp; "", "")</f>
        <v>Standard</v>
      </c>
      <c r="F634" t="str">
        <f>_xlfn.IFNA(INDEX(RETAIL__29[Loại TK], MATCH(DS_Khach_hang[[#This Row],[TÀI KHOẢN LƯU KÝ]], RETAIL__29[Số TK lưu ký KH], 0)) &amp; "", "")</f>
        <v>RETAIL</v>
      </c>
    </row>
    <row r="635" spans="1:6" hidden="1" x14ac:dyDescent="0.25">
      <c r="A635" t="s">
        <v>621</v>
      </c>
      <c r="B635" t="s">
        <v>778</v>
      </c>
      <c r="C635" t="s">
        <v>779</v>
      </c>
      <c r="D635" t="s">
        <v>1655</v>
      </c>
      <c r="E635" t="str">
        <f>_xlfn.IFNA(INDEX(RETAIL__29[Nhóm KH], MATCH(DS_Khach_hang[[#This Row],[TÀI KHOẢN LƯU KÝ]], RETAIL__29[Số TK lưu ký KH], 0)) &amp; "", "")</f>
        <v>Standard</v>
      </c>
      <c r="F635" t="str">
        <f>_xlfn.IFNA(INDEX(RETAIL__29[Loại TK], MATCH(DS_Khach_hang[[#This Row],[TÀI KHOẢN LƯU KÝ]], RETAIL__29[Số TK lưu ký KH], 0)) &amp; "", "")</f>
        <v>RETAIL</v>
      </c>
    </row>
    <row r="636" spans="1:6" hidden="1" x14ac:dyDescent="0.25">
      <c r="A636" t="s">
        <v>621</v>
      </c>
      <c r="B636" t="s">
        <v>782</v>
      </c>
      <c r="C636" t="s">
        <v>783</v>
      </c>
      <c r="D636" t="s">
        <v>1656</v>
      </c>
      <c r="E636" t="str">
        <f>_xlfn.IFNA(INDEX(RETAIL__29[Nhóm KH], MATCH(DS_Khach_hang[[#This Row],[TÀI KHOẢN LƯU KÝ]], RETAIL__29[Số TK lưu ký KH], 0)) &amp; "", "")</f>
        <v>Standard</v>
      </c>
      <c r="F636" t="str">
        <f>_xlfn.IFNA(INDEX(RETAIL__29[Loại TK], MATCH(DS_Khach_hang[[#This Row],[TÀI KHOẢN LƯU KÝ]], RETAIL__29[Số TK lưu ký KH], 0)) &amp; "", "")</f>
        <v>RETAIL</v>
      </c>
    </row>
    <row r="637" spans="1:6" hidden="1" x14ac:dyDescent="0.25">
      <c r="A637" t="s">
        <v>621</v>
      </c>
      <c r="B637" t="s">
        <v>782</v>
      </c>
      <c r="C637" t="s">
        <v>783</v>
      </c>
      <c r="D637" t="s">
        <v>1657</v>
      </c>
      <c r="E637" t="str">
        <f>_xlfn.IFNA(INDEX(RETAIL__29[Nhóm KH], MATCH(DS_Khach_hang[[#This Row],[TÀI KHOẢN LƯU KÝ]], RETAIL__29[Số TK lưu ký KH], 0)) &amp; "", "")</f>
        <v>Standard</v>
      </c>
      <c r="F637" t="str">
        <f>_xlfn.IFNA(INDEX(RETAIL__29[Loại TK], MATCH(DS_Khach_hang[[#This Row],[TÀI KHOẢN LƯU KÝ]], RETAIL__29[Số TK lưu ký KH], 0)) &amp; "", "")</f>
        <v>RETAIL</v>
      </c>
    </row>
    <row r="638" spans="1:6" hidden="1" x14ac:dyDescent="0.25">
      <c r="A638" t="s">
        <v>621</v>
      </c>
      <c r="B638" t="s">
        <v>811</v>
      </c>
      <c r="C638" t="s">
        <v>812</v>
      </c>
      <c r="D638" t="s">
        <v>1658</v>
      </c>
      <c r="E638" t="str">
        <f>_xlfn.IFNA(INDEX(RETAIL__29[Nhóm KH], MATCH(DS_Khach_hang[[#This Row],[TÀI KHOẢN LƯU KÝ]], RETAIL__29[Số TK lưu ký KH], 0)) &amp; "", "")</f>
        <v>Standard</v>
      </c>
      <c r="F638" t="str">
        <f>_xlfn.IFNA(INDEX(RETAIL__29[Loại TK], MATCH(DS_Khach_hang[[#This Row],[TÀI KHOẢN LƯU KÝ]], RETAIL__29[Số TK lưu ký KH], 0)) &amp; "", "")</f>
        <v>RETAIL</v>
      </c>
    </row>
    <row r="639" spans="1:6" hidden="1" x14ac:dyDescent="0.25">
      <c r="A639" t="s">
        <v>621</v>
      </c>
      <c r="B639" t="s">
        <v>811</v>
      </c>
      <c r="C639" t="s">
        <v>812</v>
      </c>
      <c r="D639" t="s">
        <v>1659</v>
      </c>
      <c r="E639" t="str">
        <f>_xlfn.IFNA(INDEX(RETAIL__29[Nhóm KH], MATCH(DS_Khach_hang[[#This Row],[TÀI KHOẢN LƯU KÝ]], RETAIL__29[Số TK lưu ký KH], 0)) &amp; "", "")</f>
        <v>Standard</v>
      </c>
      <c r="F639" t="str">
        <f>_xlfn.IFNA(INDEX(RETAIL__29[Loại TK], MATCH(DS_Khach_hang[[#This Row],[TÀI KHOẢN LƯU KÝ]], RETAIL__29[Số TK lưu ký KH], 0)) &amp; "", "")</f>
        <v>RETAIL</v>
      </c>
    </row>
    <row r="640" spans="1:6" hidden="1" x14ac:dyDescent="0.25">
      <c r="A640" t="s">
        <v>621</v>
      </c>
      <c r="B640" t="s">
        <v>821</v>
      </c>
      <c r="C640" t="s">
        <v>822</v>
      </c>
      <c r="D640" t="s">
        <v>1660</v>
      </c>
      <c r="E640" t="str">
        <f>_xlfn.IFNA(INDEX(RETAIL__29[Nhóm KH], MATCH(DS_Khach_hang[[#This Row],[TÀI KHOẢN LƯU KÝ]], RETAIL__29[Số TK lưu ký KH], 0)) &amp; "", "")</f>
        <v>Standard</v>
      </c>
      <c r="F640" t="str">
        <f>_xlfn.IFNA(INDEX(RETAIL__29[Loại TK], MATCH(DS_Khach_hang[[#This Row],[TÀI KHOẢN LƯU KÝ]], RETAIL__29[Số TK lưu ký KH], 0)) &amp; "", "")</f>
        <v>RETAIL</v>
      </c>
    </row>
    <row r="641" spans="1:6" hidden="1" x14ac:dyDescent="0.25">
      <c r="A641" t="s">
        <v>621</v>
      </c>
      <c r="B641" t="s">
        <v>821</v>
      </c>
      <c r="C641" t="s">
        <v>822</v>
      </c>
      <c r="D641" t="s">
        <v>1661</v>
      </c>
      <c r="E641" t="str">
        <f>_xlfn.IFNA(INDEX(RETAIL__29[Nhóm KH], MATCH(DS_Khach_hang[[#This Row],[TÀI KHOẢN LƯU KÝ]], RETAIL__29[Số TK lưu ký KH], 0)) &amp; "", "")</f>
        <v>Standard</v>
      </c>
      <c r="F641" t="str">
        <f>_xlfn.IFNA(INDEX(RETAIL__29[Loại TK], MATCH(DS_Khach_hang[[#This Row],[TÀI KHOẢN LƯU KÝ]], RETAIL__29[Số TK lưu ký KH], 0)) &amp; "", "")</f>
        <v>RETAIL</v>
      </c>
    </row>
    <row r="642" spans="1:6" hidden="1" x14ac:dyDescent="0.25">
      <c r="A642" t="s">
        <v>621</v>
      </c>
      <c r="B642" t="s">
        <v>825</v>
      </c>
      <c r="C642" t="s">
        <v>826</v>
      </c>
      <c r="D642" t="s">
        <v>1662</v>
      </c>
      <c r="E642" t="str">
        <f>_xlfn.IFNA(INDEX(RETAIL__29[Nhóm KH], MATCH(DS_Khach_hang[[#This Row],[TÀI KHOẢN LƯU KÝ]], RETAIL__29[Số TK lưu ký KH], 0)) &amp; "", "")</f>
        <v>Standard</v>
      </c>
      <c r="F642" t="str">
        <f>_xlfn.IFNA(INDEX(RETAIL__29[Loại TK], MATCH(DS_Khach_hang[[#This Row],[TÀI KHOẢN LƯU KÝ]], RETAIL__29[Số TK lưu ký KH], 0)) &amp; "", "")</f>
        <v>RETAIL</v>
      </c>
    </row>
    <row r="643" spans="1:6" hidden="1" x14ac:dyDescent="0.25">
      <c r="A643" t="s">
        <v>621</v>
      </c>
      <c r="B643" t="s">
        <v>825</v>
      </c>
      <c r="C643" t="s">
        <v>826</v>
      </c>
      <c r="D643" t="s">
        <v>1663</v>
      </c>
      <c r="E643" t="str">
        <f>_xlfn.IFNA(INDEX(RETAIL__29[Nhóm KH], MATCH(DS_Khach_hang[[#This Row],[TÀI KHOẢN LƯU KÝ]], RETAIL__29[Số TK lưu ký KH], 0)) &amp; "", "")</f>
        <v>Standard</v>
      </c>
      <c r="F643" t="str">
        <f>_xlfn.IFNA(INDEX(RETAIL__29[Loại TK], MATCH(DS_Khach_hang[[#This Row],[TÀI KHOẢN LƯU KÝ]], RETAIL__29[Số TK lưu ký KH], 0)) &amp; "", "")</f>
        <v>RETAIL</v>
      </c>
    </row>
    <row r="644" spans="1:6" hidden="1" x14ac:dyDescent="0.25">
      <c r="A644" t="s">
        <v>621</v>
      </c>
      <c r="B644" t="s">
        <v>827</v>
      </c>
      <c r="C644" t="s">
        <v>828</v>
      </c>
      <c r="D644" t="s">
        <v>1664</v>
      </c>
      <c r="E644" t="str">
        <f>_xlfn.IFNA(INDEX(RETAIL__29[Nhóm KH], MATCH(DS_Khach_hang[[#This Row],[TÀI KHOẢN LƯU KÝ]], RETAIL__29[Số TK lưu ký KH], 0)) &amp; "", "")</f>
        <v>Standard</v>
      </c>
      <c r="F644" t="str">
        <f>_xlfn.IFNA(INDEX(RETAIL__29[Loại TK], MATCH(DS_Khach_hang[[#This Row],[TÀI KHOẢN LƯU KÝ]], RETAIL__29[Số TK lưu ký KH], 0)) &amp; "", "")</f>
        <v>RETAIL</v>
      </c>
    </row>
    <row r="645" spans="1:6" hidden="1" x14ac:dyDescent="0.25">
      <c r="A645" t="s">
        <v>621</v>
      </c>
      <c r="B645" t="s">
        <v>827</v>
      </c>
      <c r="C645" t="s">
        <v>828</v>
      </c>
      <c r="D645" t="s">
        <v>1665</v>
      </c>
      <c r="E645" t="str">
        <f>_xlfn.IFNA(INDEX(RETAIL__29[Nhóm KH], MATCH(DS_Khach_hang[[#This Row],[TÀI KHOẢN LƯU KÝ]], RETAIL__29[Số TK lưu ký KH], 0)) &amp; "", "")</f>
        <v>Standard</v>
      </c>
      <c r="F645" t="str">
        <f>_xlfn.IFNA(INDEX(RETAIL__29[Loại TK], MATCH(DS_Khach_hang[[#This Row],[TÀI KHOẢN LƯU KÝ]], RETAIL__29[Số TK lưu ký KH], 0)) &amp; "", "")</f>
        <v>RETAIL</v>
      </c>
    </row>
    <row r="646" spans="1:6" hidden="1" x14ac:dyDescent="0.25">
      <c r="A646" t="s">
        <v>621</v>
      </c>
      <c r="B646" t="s">
        <v>831</v>
      </c>
      <c r="C646" t="s">
        <v>832</v>
      </c>
      <c r="D646" t="s">
        <v>1666</v>
      </c>
      <c r="E646" t="str">
        <f>_xlfn.IFNA(INDEX(RETAIL__29[Nhóm KH], MATCH(DS_Khach_hang[[#This Row],[TÀI KHOẢN LƯU KÝ]], RETAIL__29[Số TK lưu ký KH], 0)) &amp; "", "")</f>
        <v>Standard</v>
      </c>
      <c r="F646" t="str">
        <f>_xlfn.IFNA(INDEX(RETAIL__29[Loại TK], MATCH(DS_Khach_hang[[#This Row],[TÀI KHOẢN LƯU KÝ]], RETAIL__29[Số TK lưu ký KH], 0)) &amp; "", "")</f>
        <v>RETAIL</v>
      </c>
    </row>
    <row r="647" spans="1:6" hidden="1" x14ac:dyDescent="0.25">
      <c r="A647" t="s">
        <v>621</v>
      </c>
      <c r="B647" t="s">
        <v>831</v>
      </c>
      <c r="C647" t="s">
        <v>832</v>
      </c>
      <c r="D647" t="s">
        <v>1667</v>
      </c>
      <c r="E647" t="str">
        <f>_xlfn.IFNA(INDEX(RETAIL__29[Nhóm KH], MATCH(DS_Khach_hang[[#This Row],[TÀI KHOẢN LƯU KÝ]], RETAIL__29[Số TK lưu ký KH], 0)) &amp; "", "")</f>
        <v>Standard</v>
      </c>
      <c r="F647" t="str">
        <f>_xlfn.IFNA(INDEX(RETAIL__29[Loại TK], MATCH(DS_Khach_hang[[#This Row],[TÀI KHOẢN LƯU KÝ]], RETAIL__29[Số TK lưu ký KH], 0)) &amp; "", "")</f>
        <v>RETAIL</v>
      </c>
    </row>
    <row r="648" spans="1:6" hidden="1" x14ac:dyDescent="0.25">
      <c r="A648" t="s">
        <v>621</v>
      </c>
      <c r="B648" t="s">
        <v>833</v>
      </c>
      <c r="C648" t="s">
        <v>834</v>
      </c>
      <c r="D648" t="s">
        <v>1668</v>
      </c>
      <c r="E648" t="str">
        <f>_xlfn.IFNA(INDEX(RETAIL__29[Nhóm KH], MATCH(DS_Khach_hang[[#This Row],[TÀI KHOẢN LƯU KÝ]], RETAIL__29[Số TK lưu ký KH], 0)) &amp; "", "")</f>
        <v>Standard</v>
      </c>
      <c r="F648" t="str">
        <f>_xlfn.IFNA(INDEX(RETAIL__29[Loại TK], MATCH(DS_Khach_hang[[#This Row],[TÀI KHOẢN LƯU KÝ]], RETAIL__29[Số TK lưu ký KH], 0)) &amp; "", "")</f>
        <v>RETAIL</v>
      </c>
    </row>
    <row r="649" spans="1:6" hidden="1" x14ac:dyDescent="0.25">
      <c r="A649" t="s">
        <v>621</v>
      </c>
      <c r="B649" t="s">
        <v>833</v>
      </c>
      <c r="C649" t="s">
        <v>834</v>
      </c>
      <c r="D649" t="s">
        <v>1669</v>
      </c>
      <c r="E649" t="str">
        <f>_xlfn.IFNA(INDEX(RETAIL__29[Nhóm KH], MATCH(DS_Khach_hang[[#This Row],[TÀI KHOẢN LƯU KÝ]], RETAIL__29[Số TK lưu ký KH], 0)) &amp; "", "")</f>
        <v>Standard</v>
      </c>
      <c r="F649" t="str">
        <f>_xlfn.IFNA(INDEX(RETAIL__29[Loại TK], MATCH(DS_Khach_hang[[#This Row],[TÀI KHOẢN LƯU KÝ]], RETAIL__29[Số TK lưu ký KH], 0)) &amp; "", "")</f>
        <v>RETAIL</v>
      </c>
    </row>
    <row r="650" spans="1:6" hidden="1" x14ac:dyDescent="0.25">
      <c r="A650" t="s">
        <v>621</v>
      </c>
      <c r="B650" t="s">
        <v>835</v>
      </c>
      <c r="C650" t="s">
        <v>836</v>
      </c>
      <c r="D650" t="s">
        <v>1670</v>
      </c>
      <c r="E650" t="str">
        <f>_xlfn.IFNA(INDEX(RETAIL__29[Nhóm KH], MATCH(DS_Khach_hang[[#This Row],[TÀI KHOẢN LƯU KÝ]], RETAIL__29[Số TK lưu ký KH], 0)) &amp; "", "")</f>
        <v>Standard</v>
      </c>
      <c r="F650" t="str">
        <f>_xlfn.IFNA(INDEX(RETAIL__29[Loại TK], MATCH(DS_Khach_hang[[#This Row],[TÀI KHOẢN LƯU KÝ]], RETAIL__29[Số TK lưu ký KH], 0)) &amp; "", "")</f>
        <v>RETAIL</v>
      </c>
    </row>
    <row r="651" spans="1:6" hidden="1" x14ac:dyDescent="0.25">
      <c r="A651" t="s">
        <v>621</v>
      </c>
      <c r="B651" t="s">
        <v>835</v>
      </c>
      <c r="C651" t="s">
        <v>836</v>
      </c>
      <c r="D651" t="s">
        <v>1671</v>
      </c>
      <c r="E651" t="str">
        <f>_xlfn.IFNA(INDEX(RETAIL__29[Nhóm KH], MATCH(DS_Khach_hang[[#This Row],[TÀI KHOẢN LƯU KÝ]], RETAIL__29[Số TK lưu ký KH], 0)) &amp; "", "")</f>
        <v>Standard</v>
      </c>
      <c r="F651" t="str">
        <f>_xlfn.IFNA(INDEX(RETAIL__29[Loại TK], MATCH(DS_Khach_hang[[#This Row],[TÀI KHOẢN LƯU KÝ]], RETAIL__29[Số TK lưu ký KH], 0)) &amp; "", "")</f>
        <v>RETAIL</v>
      </c>
    </row>
    <row r="652" spans="1:6" hidden="1" x14ac:dyDescent="0.25">
      <c r="A652" t="s">
        <v>621</v>
      </c>
      <c r="B652" t="s">
        <v>837</v>
      </c>
      <c r="C652" t="s">
        <v>838</v>
      </c>
      <c r="D652" t="s">
        <v>1672</v>
      </c>
      <c r="E652" t="str">
        <f>_xlfn.IFNA(INDEX(RETAIL__29[Nhóm KH], MATCH(DS_Khach_hang[[#This Row],[TÀI KHOẢN LƯU KÝ]], RETAIL__29[Số TK lưu ký KH], 0)) &amp; "", "")</f>
        <v>Standard</v>
      </c>
      <c r="F652" t="str">
        <f>_xlfn.IFNA(INDEX(RETAIL__29[Loại TK], MATCH(DS_Khach_hang[[#This Row],[TÀI KHOẢN LƯU KÝ]], RETAIL__29[Số TK lưu ký KH], 0)) &amp; "", "")</f>
        <v>RETAIL</v>
      </c>
    </row>
    <row r="653" spans="1:6" hidden="1" x14ac:dyDescent="0.25">
      <c r="A653" t="s">
        <v>621</v>
      </c>
      <c r="B653" t="s">
        <v>837</v>
      </c>
      <c r="C653" t="s">
        <v>838</v>
      </c>
      <c r="D653" t="s">
        <v>1673</v>
      </c>
      <c r="E653" t="str">
        <f>_xlfn.IFNA(INDEX(RETAIL__29[Nhóm KH], MATCH(DS_Khach_hang[[#This Row],[TÀI KHOẢN LƯU KÝ]], RETAIL__29[Số TK lưu ký KH], 0)) &amp; "", "")</f>
        <v>Standard</v>
      </c>
      <c r="F653" t="str">
        <f>_xlfn.IFNA(INDEX(RETAIL__29[Loại TK], MATCH(DS_Khach_hang[[#This Row],[TÀI KHOẢN LƯU KÝ]], RETAIL__29[Số TK lưu ký KH], 0)) &amp; "", "")</f>
        <v>RETAIL</v>
      </c>
    </row>
    <row r="654" spans="1:6" hidden="1" x14ac:dyDescent="0.25">
      <c r="A654" t="s">
        <v>621</v>
      </c>
      <c r="B654" t="s">
        <v>844</v>
      </c>
      <c r="C654" t="s">
        <v>845</v>
      </c>
      <c r="D654" t="s">
        <v>1674</v>
      </c>
      <c r="E654" t="str">
        <f>_xlfn.IFNA(INDEX(RETAIL__29[Nhóm KH], MATCH(DS_Khach_hang[[#This Row],[TÀI KHOẢN LƯU KÝ]], RETAIL__29[Số TK lưu ký KH], 0)) &amp; "", "")</f>
        <v>Standard</v>
      </c>
      <c r="F654" t="str">
        <f>_xlfn.IFNA(INDEX(RETAIL__29[Loại TK], MATCH(DS_Khach_hang[[#This Row],[TÀI KHOẢN LƯU KÝ]], RETAIL__29[Số TK lưu ký KH], 0)) &amp; "", "")</f>
        <v>RETAIL</v>
      </c>
    </row>
    <row r="655" spans="1:6" hidden="1" x14ac:dyDescent="0.25">
      <c r="A655" t="s">
        <v>621</v>
      </c>
      <c r="B655" t="s">
        <v>844</v>
      </c>
      <c r="C655" t="s">
        <v>845</v>
      </c>
      <c r="D655" t="s">
        <v>1675</v>
      </c>
      <c r="E655" t="str">
        <f>_xlfn.IFNA(INDEX(RETAIL__29[Nhóm KH], MATCH(DS_Khach_hang[[#This Row],[TÀI KHOẢN LƯU KÝ]], RETAIL__29[Số TK lưu ký KH], 0)) &amp; "", "")</f>
        <v>Standard</v>
      </c>
      <c r="F655" t="str">
        <f>_xlfn.IFNA(INDEX(RETAIL__29[Loại TK], MATCH(DS_Khach_hang[[#This Row],[TÀI KHOẢN LƯU KÝ]], RETAIL__29[Số TK lưu ký KH], 0)) &amp; "", "")</f>
        <v>RETAIL</v>
      </c>
    </row>
    <row r="656" spans="1:6" hidden="1" x14ac:dyDescent="0.25">
      <c r="A656" t="s">
        <v>621</v>
      </c>
      <c r="B656" t="s">
        <v>846</v>
      </c>
      <c r="C656" t="s">
        <v>847</v>
      </c>
      <c r="D656" t="s">
        <v>1676</v>
      </c>
      <c r="E656" t="str">
        <f>_xlfn.IFNA(INDEX(RETAIL__29[Nhóm KH], MATCH(DS_Khach_hang[[#This Row],[TÀI KHOẢN LƯU KÝ]], RETAIL__29[Số TK lưu ký KH], 0)) &amp; "", "")</f>
        <v>Standard</v>
      </c>
      <c r="F656" t="str">
        <f>_xlfn.IFNA(INDEX(RETAIL__29[Loại TK], MATCH(DS_Khach_hang[[#This Row],[TÀI KHOẢN LƯU KÝ]], RETAIL__29[Số TK lưu ký KH], 0)) &amp; "", "")</f>
        <v>RETAIL</v>
      </c>
    </row>
    <row r="657" spans="1:6" hidden="1" x14ac:dyDescent="0.25">
      <c r="A657" t="s">
        <v>621</v>
      </c>
      <c r="B657" t="s">
        <v>846</v>
      </c>
      <c r="C657" t="s">
        <v>847</v>
      </c>
      <c r="D657" t="s">
        <v>1677</v>
      </c>
      <c r="E657" t="str">
        <f>_xlfn.IFNA(INDEX(RETAIL__29[Nhóm KH], MATCH(DS_Khach_hang[[#This Row],[TÀI KHOẢN LƯU KÝ]], RETAIL__29[Số TK lưu ký KH], 0)) &amp; "", "")</f>
        <v>Standard</v>
      </c>
      <c r="F657" t="str">
        <f>_xlfn.IFNA(INDEX(RETAIL__29[Loại TK], MATCH(DS_Khach_hang[[#This Row],[TÀI KHOẢN LƯU KÝ]], RETAIL__29[Số TK lưu ký KH], 0)) &amp; "", "")</f>
        <v>RETAIL</v>
      </c>
    </row>
    <row r="658" spans="1:6" hidden="1" x14ac:dyDescent="0.25">
      <c r="A658" t="s">
        <v>621</v>
      </c>
      <c r="B658" t="s">
        <v>848</v>
      </c>
      <c r="C658" t="s">
        <v>849</v>
      </c>
      <c r="D658" t="s">
        <v>1678</v>
      </c>
      <c r="E658" t="str">
        <f>_xlfn.IFNA(INDEX(RETAIL__29[Nhóm KH], MATCH(DS_Khach_hang[[#This Row],[TÀI KHOẢN LƯU KÝ]], RETAIL__29[Số TK lưu ký KH], 0)) &amp; "", "")</f>
        <v>Standard</v>
      </c>
      <c r="F658" t="str">
        <f>_xlfn.IFNA(INDEX(RETAIL__29[Loại TK], MATCH(DS_Khach_hang[[#This Row],[TÀI KHOẢN LƯU KÝ]], RETAIL__29[Số TK lưu ký KH], 0)) &amp; "", "")</f>
        <v>RETAIL</v>
      </c>
    </row>
    <row r="659" spans="1:6" hidden="1" x14ac:dyDescent="0.25">
      <c r="A659" t="s">
        <v>621</v>
      </c>
      <c r="B659" t="s">
        <v>848</v>
      </c>
      <c r="C659" t="s">
        <v>849</v>
      </c>
      <c r="D659" t="s">
        <v>1679</v>
      </c>
      <c r="E659" t="str">
        <f>_xlfn.IFNA(INDEX(RETAIL__29[Nhóm KH], MATCH(DS_Khach_hang[[#This Row],[TÀI KHOẢN LƯU KÝ]], RETAIL__29[Số TK lưu ký KH], 0)) &amp; "", "")</f>
        <v>Standard</v>
      </c>
      <c r="F659" t="str">
        <f>_xlfn.IFNA(INDEX(RETAIL__29[Loại TK], MATCH(DS_Khach_hang[[#This Row],[TÀI KHOẢN LƯU KÝ]], RETAIL__29[Số TK lưu ký KH], 0)) &amp; "", "")</f>
        <v>RETAIL</v>
      </c>
    </row>
    <row r="660" spans="1:6" hidden="1" x14ac:dyDescent="0.25">
      <c r="A660" t="s">
        <v>621</v>
      </c>
      <c r="B660" t="s">
        <v>850</v>
      </c>
      <c r="C660" t="s">
        <v>851</v>
      </c>
      <c r="D660" t="s">
        <v>1680</v>
      </c>
      <c r="E660" t="str">
        <f>_xlfn.IFNA(INDEX(RETAIL__29[Nhóm KH], MATCH(DS_Khach_hang[[#This Row],[TÀI KHOẢN LƯU KÝ]], RETAIL__29[Số TK lưu ký KH], 0)) &amp; "", "")</f>
        <v>Standard</v>
      </c>
      <c r="F660" t="str">
        <f>_xlfn.IFNA(INDEX(RETAIL__29[Loại TK], MATCH(DS_Khach_hang[[#This Row],[TÀI KHOẢN LƯU KÝ]], RETAIL__29[Số TK lưu ký KH], 0)) &amp; "", "")</f>
        <v>RETAIL</v>
      </c>
    </row>
    <row r="661" spans="1:6" hidden="1" x14ac:dyDescent="0.25">
      <c r="A661" t="s">
        <v>621</v>
      </c>
      <c r="B661" t="s">
        <v>850</v>
      </c>
      <c r="C661" t="s">
        <v>851</v>
      </c>
      <c r="D661" t="s">
        <v>1681</v>
      </c>
      <c r="E661" t="str">
        <f>_xlfn.IFNA(INDEX(RETAIL__29[Nhóm KH], MATCH(DS_Khach_hang[[#This Row],[TÀI KHOẢN LƯU KÝ]], RETAIL__29[Số TK lưu ký KH], 0)) &amp; "", "")</f>
        <v>Standard</v>
      </c>
      <c r="F661" t="str">
        <f>_xlfn.IFNA(INDEX(RETAIL__29[Loại TK], MATCH(DS_Khach_hang[[#This Row],[TÀI KHOẢN LƯU KÝ]], RETAIL__29[Số TK lưu ký KH], 0)) &amp; "", "")</f>
        <v>RETAIL</v>
      </c>
    </row>
    <row r="662" spans="1:6" hidden="1" x14ac:dyDescent="0.25">
      <c r="A662" t="s">
        <v>621</v>
      </c>
      <c r="B662" t="s">
        <v>854</v>
      </c>
      <c r="C662" t="s">
        <v>855</v>
      </c>
      <c r="D662" t="s">
        <v>1682</v>
      </c>
      <c r="E662" t="str">
        <f>_xlfn.IFNA(INDEX(RETAIL__29[Nhóm KH], MATCH(DS_Khach_hang[[#This Row],[TÀI KHOẢN LƯU KÝ]], RETAIL__29[Số TK lưu ký KH], 0)) &amp; "", "")</f>
        <v>Standard</v>
      </c>
      <c r="F662" t="str">
        <f>_xlfn.IFNA(INDEX(RETAIL__29[Loại TK], MATCH(DS_Khach_hang[[#This Row],[TÀI KHOẢN LƯU KÝ]], RETAIL__29[Số TK lưu ký KH], 0)) &amp; "", "")</f>
        <v>RETAIL</v>
      </c>
    </row>
    <row r="663" spans="1:6" hidden="1" x14ac:dyDescent="0.25">
      <c r="A663" t="s">
        <v>621</v>
      </c>
      <c r="B663" t="s">
        <v>854</v>
      </c>
      <c r="C663" t="s">
        <v>855</v>
      </c>
      <c r="D663" t="s">
        <v>1683</v>
      </c>
      <c r="E663" t="str">
        <f>_xlfn.IFNA(INDEX(RETAIL__29[Nhóm KH], MATCH(DS_Khach_hang[[#This Row],[TÀI KHOẢN LƯU KÝ]], RETAIL__29[Số TK lưu ký KH], 0)) &amp; "", "")</f>
        <v>Standard</v>
      </c>
      <c r="F663" t="str">
        <f>_xlfn.IFNA(INDEX(RETAIL__29[Loại TK], MATCH(DS_Khach_hang[[#This Row],[TÀI KHOẢN LƯU KÝ]], RETAIL__29[Số TK lưu ký KH], 0)) &amp; "", "")</f>
        <v>RETAIL</v>
      </c>
    </row>
    <row r="664" spans="1:6" hidden="1" x14ac:dyDescent="0.25">
      <c r="A664" t="s">
        <v>621</v>
      </c>
      <c r="B664" t="s">
        <v>856</v>
      </c>
      <c r="C664" t="s">
        <v>857</v>
      </c>
      <c r="D664" t="s">
        <v>1684</v>
      </c>
      <c r="E664" t="str">
        <f>_xlfn.IFNA(INDEX(RETAIL__29[Nhóm KH], MATCH(DS_Khach_hang[[#This Row],[TÀI KHOẢN LƯU KÝ]], RETAIL__29[Số TK lưu ký KH], 0)) &amp; "", "")</f>
        <v>Standard</v>
      </c>
      <c r="F664" t="str">
        <f>_xlfn.IFNA(INDEX(RETAIL__29[Loại TK], MATCH(DS_Khach_hang[[#This Row],[TÀI KHOẢN LƯU KÝ]], RETAIL__29[Số TK lưu ký KH], 0)) &amp; "", "")</f>
        <v>RETAIL</v>
      </c>
    </row>
    <row r="665" spans="1:6" hidden="1" x14ac:dyDescent="0.25">
      <c r="A665" t="s">
        <v>621</v>
      </c>
      <c r="B665" t="s">
        <v>856</v>
      </c>
      <c r="C665" t="s">
        <v>857</v>
      </c>
      <c r="D665" t="s">
        <v>1685</v>
      </c>
      <c r="E665" t="str">
        <f>_xlfn.IFNA(INDEX(RETAIL__29[Nhóm KH], MATCH(DS_Khach_hang[[#This Row],[TÀI KHOẢN LƯU KÝ]], RETAIL__29[Số TK lưu ký KH], 0)) &amp; "", "")</f>
        <v>Standard</v>
      </c>
      <c r="F665" t="str">
        <f>_xlfn.IFNA(INDEX(RETAIL__29[Loại TK], MATCH(DS_Khach_hang[[#This Row],[TÀI KHOẢN LƯU KÝ]], RETAIL__29[Số TK lưu ký KH], 0)) &amp; "", "")</f>
        <v>RETAIL</v>
      </c>
    </row>
    <row r="666" spans="1:6" hidden="1" x14ac:dyDescent="0.25">
      <c r="A666" t="s">
        <v>621</v>
      </c>
      <c r="B666" t="s">
        <v>861</v>
      </c>
      <c r="C666" t="s">
        <v>862</v>
      </c>
      <c r="D666" t="s">
        <v>1686</v>
      </c>
      <c r="E666" t="str">
        <f>_xlfn.IFNA(INDEX(RETAIL__29[Nhóm KH], MATCH(DS_Khach_hang[[#This Row],[TÀI KHOẢN LƯU KÝ]], RETAIL__29[Số TK lưu ký KH], 0)) &amp; "", "")</f>
        <v>Standard</v>
      </c>
      <c r="F666" t="str">
        <f>_xlfn.IFNA(INDEX(RETAIL__29[Loại TK], MATCH(DS_Khach_hang[[#This Row],[TÀI KHOẢN LƯU KÝ]], RETAIL__29[Số TK lưu ký KH], 0)) &amp; "", "")</f>
        <v>RETAIL</v>
      </c>
    </row>
    <row r="667" spans="1:6" hidden="1" x14ac:dyDescent="0.25">
      <c r="A667" t="s">
        <v>621</v>
      </c>
      <c r="B667" t="s">
        <v>861</v>
      </c>
      <c r="C667" t="s">
        <v>862</v>
      </c>
      <c r="D667" t="s">
        <v>1687</v>
      </c>
      <c r="E667" t="str">
        <f>_xlfn.IFNA(INDEX(RETAIL__29[Nhóm KH], MATCH(DS_Khach_hang[[#This Row],[TÀI KHOẢN LƯU KÝ]], RETAIL__29[Số TK lưu ký KH], 0)) &amp; "", "")</f>
        <v>Standard</v>
      </c>
      <c r="F667" t="str">
        <f>_xlfn.IFNA(INDEX(RETAIL__29[Loại TK], MATCH(DS_Khach_hang[[#This Row],[TÀI KHOẢN LƯU KÝ]], RETAIL__29[Số TK lưu ký KH], 0)) &amp; "", "")</f>
        <v>RETAIL</v>
      </c>
    </row>
    <row r="668" spans="1:6" hidden="1" x14ac:dyDescent="0.25">
      <c r="A668" t="s">
        <v>621</v>
      </c>
      <c r="B668" t="s">
        <v>865</v>
      </c>
      <c r="C668" t="s">
        <v>866</v>
      </c>
      <c r="D668" t="s">
        <v>1688</v>
      </c>
      <c r="E668" t="str">
        <f>_xlfn.IFNA(INDEX(RETAIL__29[Nhóm KH], MATCH(DS_Khach_hang[[#This Row],[TÀI KHOẢN LƯU KÝ]], RETAIL__29[Số TK lưu ký KH], 0)) &amp; "", "")</f>
        <v>Standard</v>
      </c>
      <c r="F668" t="str">
        <f>_xlfn.IFNA(INDEX(RETAIL__29[Loại TK], MATCH(DS_Khach_hang[[#This Row],[TÀI KHOẢN LƯU KÝ]], RETAIL__29[Số TK lưu ký KH], 0)) &amp; "", "")</f>
        <v>RETAIL</v>
      </c>
    </row>
    <row r="669" spans="1:6" hidden="1" x14ac:dyDescent="0.25">
      <c r="A669" t="s">
        <v>621</v>
      </c>
      <c r="B669" t="s">
        <v>865</v>
      </c>
      <c r="C669" t="s">
        <v>866</v>
      </c>
      <c r="D669" t="s">
        <v>1689</v>
      </c>
      <c r="E669" t="str">
        <f>_xlfn.IFNA(INDEX(RETAIL__29[Nhóm KH], MATCH(DS_Khach_hang[[#This Row],[TÀI KHOẢN LƯU KÝ]], RETAIL__29[Số TK lưu ký KH], 0)) &amp; "", "")</f>
        <v>Standard</v>
      </c>
      <c r="F669" t="str">
        <f>_xlfn.IFNA(INDEX(RETAIL__29[Loại TK], MATCH(DS_Khach_hang[[#This Row],[TÀI KHOẢN LƯU KÝ]], RETAIL__29[Số TK lưu ký KH], 0)) &amp; "", "")</f>
        <v>RETAIL</v>
      </c>
    </row>
    <row r="670" spans="1:6" hidden="1" x14ac:dyDescent="0.25">
      <c r="A670" t="s">
        <v>621</v>
      </c>
      <c r="B670" t="s">
        <v>871</v>
      </c>
      <c r="C670" t="s">
        <v>872</v>
      </c>
      <c r="D670" t="s">
        <v>1690</v>
      </c>
      <c r="E670" t="str">
        <f>_xlfn.IFNA(INDEX(RETAIL__29[Nhóm KH], MATCH(DS_Khach_hang[[#This Row],[TÀI KHOẢN LƯU KÝ]], RETAIL__29[Số TK lưu ký KH], 0)) &amp; "", "")</f>
        <v>Standard</v>
      </c>
      <c r="F670" t="str">
        <f>_xlfn.IFNA(INDEX(RETAIL__29[Loại TK], MATCH(DS_Khach_hang[[#This Row],[TÀI KHOẢN LƯU KÝ]], RETAIL__29[Số TK lưu ký KH], 0)) &amp; "", "")</f>
        <v>RETAIL</v>
      </c>
    </row>
    <row r="671" spans="1:6" hidden="1" x14ac:dyDescent="0.25">
      <c r="A671" t="s">
        <v>621</v>
      </c>
      <c r="B671" t="s">
        <v>871</v>
      </c>
      <c r="C671" t="s">
        <v>872</v>
      </c>
      <c r="D671" t="s">
        <v>1691</v>
      </c>
      <c r="E671" t="str">
        <f>_xlfn.IFNA(INDEX(RETAIL__29[Nhóm KH], MATCH(DS_Khach_hang[[#This Row],[TÀI KHOẢN LƯU KÝ]], RETAIL__29[Số TK lưu ký KH], 0)) &amp; "", "")</f>
        <v>Standard</v>
      </c>
      <c r="F671" t="str">
        <f>_xlfn.IFNA(INDEX(RETAIL__29[Loại TK], MATCH(DS_Khach_hang[[#This Row],[TÀI KHOẢN LƯU KÝ]], RETAIL__29[Số TK lưu ký KH], 0)) &amp; "", "")</f>
        <v>RETAIL</v>
      </c>
    </row>
    <row r="672" spans="1:6" hidden="1" x14ac:dyDescent="0.25">
      <c r="A672" t="s">
        <v>621</v>
      </c>
      <c r="B672" t="s">
        <v>875</v>
      </c>
      <c r="C672" t="s">
        <v>876</v>
      </c>
      <c r="D672" t="s">
        <v>1692</v>
      </c>
      <c r="E672" t="str">
        <f>_xlfn.IFNA(INDEX(RETAIL__29[Nhóm KH], MATCH(DS_Khach_hang[[#This Row],[TÀI KHOẢN LƯU KÝ]], RETAIL__29[Số TK lưu ký KH], 0)) &amp; "", "")</f>
        <v>Standard</v>
      </c>
      <c r="F672" t="str">
        <f>_xlfn.IFNA(INDEX(RETAIL__29[Loại TK], MATCH(DS_Khach_hang[[#This Row],[TÀI KHOẢN LƯU KÝ]], RETAIL__29[Số TK lưu ký KH], 0)) &amp; "", "")</f>
        <v>RETAIL</v>
      </c>
    </row>
    <row r="673" spans="1:6" hidden="1" x14ac:dyDescent="0.25">
      <c r="A673" t="s">
        <v>621</v>
      </c>
      <c r="B673" t="s">
        <v>875</v>
      </c>
      <c r="C673" t="s">
        <v>876</v>
      </c>
      <c r="D673" t="s">
        <v>1693</v>
      </c>
      <c r="E673" t="str">
        <f>_xlfn.IFNA(INDEX(RETAIL__29[Nhóm KH], MATCH(DS_Khach_hang[[#This Row],[TÀI KHOẢN LƯU KÝ]], RETAIL__29[Số TK lưu ký KH], 0)) &amp; "", "")</f>
        <v>Standard</v>
      </c>
      <c r="F673" t="str">
        <f>_xlfn.IFNA(INDEX(RETAIL__29[Loại TK], MATCH(DS_Khach_hang[[#This Row],[TÀI KHOẢN LƯU KÝ]], RETAIL__29[Số TK lưu ký KH], 0)) &amp; "", "")</f>
        <v>RETAIL</v>
      </c>
    </row>
    <row r="674" spans="1:6" hidden="1" x14ac:dyDescent="0.25">
      <c r="A674" t="s">
        <v>621</v>
      </c>
      <c r="B674" t="s">
        <v>877</v>
      </c>
      <c r="C674" t="s">
        <v>878</v>
      </c>
      <c r="D674" t="s">
        <v>1694</v>
      </c>
      <c r="E674" t="str">
        <f>_xlfn.IFNA(INDEX(RETAIL__29[Nhóm KH], MATCH(DS_Khach_hang[[#This Row],[TÀI KHOẢN LƯU KÝ]], RETAIL__29[Số TK lưu ký KH], 0)) &amp; "", "")</f>
        <v>Standard</v>
      </c>
      <c r="F674" t="str">
        <f>_xlfn.IFNA(INDEX(RETAIL__29[Loại TK], MATCH(DS_Khach_hang[[#This Row],[TÀI KHOẢN LƯU KÝ]], RETAIL__29[Số TK lưu ký KH], 0)) &amp; "", "")</f>
        <v>RETAIL</v>
      </c>
    </row>
    <row r="675" spans="1:6" hidden="1" x14ac:dyDescent="0.25">
      <c r="A675" t="s">
        <v>621</v>
      </c>
      <c r="B675" t="s">
        <v>877</v>
      </c>
      <c r="C675" t="s">
        <v>878</v>
      </c>
      <c r="D675" t="s">
        <v>1695</v>
      </c>
      <c r="E675" t="str">
        <f>_xlfn.IFNA(INDEX(RETAIL__29[Nhóm KH], MATCH(DS_Khach_hang[[#This Row],[TÀI KHOẢN LƯU KÝ]], RETAIL__29[Số TK lưu ký KH], 0)) &amp; "", "")</f>
        <v>Standard</v>
      </c>
      <c r="F675" t="str">
        <f>_xlfn.IFNA(INDEX(RETAIL__29[Loại TK], MATCH(DS_Khach_hang[[#This Row],[TÀI KHOẢN LƯU KÝ]], RETAIL__29[Số TK lưu ký KH], 0)) &amp; "", "")</f>
        <v>RETAIL</v>
      </c>
    </row>
    <row r="676" spans="1:6" hidden="1" x14ac:dyDescent="0.25">
      <c r="A676" t="s">
        <v>621</v>
      </c>
      <c r="B676" t="s">
        <v>879</v>
      </c>
      <c r="C676" t="s">
        <v>880</v>
      </c>
      <c r="D676" t="s">
        <v>1696</v>
      </c>
      <c r="E676" t="str">
        <f>_xlfn.IFNA(INDEX(RETAIL__29[Nhóm KH], MATCH(DS_Khach_hang[[#This Row],[TÀI KHOẢN LƯU KÝ]], RETAIL__29[Số TK lưu ký KH], 0)) &amp; "", "")</f>
        <v>Standard</v>
      </c>
      <c r="F676" t="str">
        <f>_xlfn.IFNA(INDEX(RETAIL__29[Loại TK], MATCH(DS_Khach_hang[[#This Row],[TÀI KHOẢN LƯU KÝ]], RETAIL__29[Số TK lưu ký KH], 0)) &amp; "", "")</f>
        <v>RETAIL</v>
      </c>
    </row>
    <row r="677" spans="1:6" hidden="1" x14ac:dyDescent="0.25">
      <c r="A677" t="s">
        <v>621</v>
      </c>
      <c r="B677" t="s">
        <v>879</v>
      </c>
      <c r="C677" t="s">
        <v>880</v>
      </c>
      <c r="D677" t="s">
        <v>1697</v>
      </c>
      <c r="E677" t="str">
        <f>_xlfn.IFNA(INDEX(RETAIL__29[Nhóm KH], MATCH(DS_Khach_hang[[#This Row],[TÀI KHOẢN LƯU KÝ]], RETAIL__29[Số TK lưu ký KH], 0)) &amp; "", "")</f>
        <v>Standard</v>
      </c>
      <c r="F677" t="str">
        <f>_xlfn.IFNA(INDEX(RETAIL__29[Loại TK], MATCH(DS_Khach_hang[[#This Row],[TÀI KHOẢN LƯU KÝ]], RETAIL__29[Số TK lưu ký KH], 0)) &amp; "", "")</f>
        <v>RETAIL</v>
      </c>
    </row>
    <row r="678" spans="1:6" hidden="1" x14ac:dyDescent="0.25">
      <c r="A678" t="s">
        <v>621</v>
      </c>
      <c r="B678" t="s">
        <v>881</v>
      </c>
      <c r="C678" t="s">
        <v>882</v>
      </c>
      <c r="D678" t="s">
        <v>1698</v>
      </c>
      <c r="E678" t="str">
        <f>_xlfn.IFNA(INDEX(RETAIL__29[Nhóm KH], MATCH(DS_Khach_hang[[#This Row],[TÀI KHOẢN LƯU KÝ]], RETAIL__29[Số TK lưu ký KH], 0)) &amp; "", "")</f>
        <v>Standard</v>
      </c>
      <c r="F678" t="str">
        <f>_xlfn.IFNA(INDEX(RETAIL__29[Loại TK], MATCH(DS_Khach_hang[[#This Row],[TÀI KHOẢN LƯU KÝ]], RETAIL__29[Số TK lưu ký KH], 0)) &amp; "", "")</f>
        <v>RETAIL</v>
      </c>
    </row>
    <row r="679" spans="1:6" hidden="1" x14ac:dyDescent="0.25">
      <c r="A679" t="s">
        <v>621</v>
      </c>
      <c r="B679" t="s">
        <v>881</v>
      </c>
      <c r="C679" t="s">
        <v>882</v>
      </c>
      <c r="D679" t="s">
        <v>1699</v>
      </c>
      <c r="E679" t="str">
        <f>_xlfn.IFNA(INDEX(RETAIL__29[Nhóm KH], MATCH(DS_Khach_hang[[#This Row],[TÀI KHOẢN LƯU KÝ]], RETAIL__29[Số TK lưu ký KH], 0)) &amp; "", "")</f>
        <v>Standard</v>
      </c>
      <c r="F679" t="str">
        <f>_xlfn.IFNA(INDEX(RETAIL__29[Loại TK], MATCH(DS_Khach_hang[[#This Row],[TÀI KHOẢN LƯU KÝ]], RETAIL__29[Số TK lưu ký KH], 0)) &amp; "", "")</f>
        <v>RETAIL</v>
      </c>
    </row>
    <row r="680" spans="1:6" hidden="1" x14ac:dyDescent="0.25">
      <c r="A680" t="s">
        <v>621</v>
      </c>
      <c r="B680" t="s">
        <v>883</v>
      </c>
      <c r="C680" t="s">
        <v>791</v>
      </c>
      <c r="D680" t="s">
        <v>1700</v>
      </c>
      <c r="E680" t="str">
        <f>_xlfn.IFNA(INDEX(RETAIL__29[Nhóm KH], MATCH(DS_Khach_hang[[#This Row],[TÀI KHOẢN LƯU KÝ]], RETAIL__29[Số TK lưu ký KH], 0)) &amp; "", "")</f>
        <v>Standard</v>
      </c>
      <c r="F680" t="str">
        <f>_xlfn.IFNA(INDEX(RETAIL__29[Loại TK], MATCH(DS_Khach_hang[[#This Row],[TÀI KHOẢN LƯU KÝ]], RETAIL__29[Số TK lưu ký KH], 0)) &amp; "", "")</f>
        <v>RETAIL</v>
      </c>
    </row>
    <row r="681" spans="1:6" hidden="1" x14ac:dyDescent="0.25">
      <c r="A681" t="s">
        <v>621</v>
      </c>
      <c r="B681" t="s">
        <v>883</v>
      </c>
      <c r="C681" t="s">
        <v>791</v>
      </c>
      <c r="D681" t="s">
        <v>1701</v>
      </c>
      <c r="E681" t="str">
        <f>_xlfn.IFNA(INDEX(RETAIL__29[Nhóm KH], MATCH(DS_Khach_hang[[#This Row],[TÀI KHOẢN LƯU KÝ]], RETAIL__29[Số TK lưu ký KH], 0)) &amp; "", "")</f>
        <v>Standard</v>
      </c>
      <c r="F681" t="str">
        <f>_xlfn.IFNA(INDEX(RETAIL__29[Loại TK], MATCH(DS_Khach_hang[[#This Row],[TÀI KHOẢN LƯU KÝ]], RETAIL__29[Số TK lưu ký KH], 0)) &amp; "", "")</f>
        <v>RETAIL</v>
      </c>
    </row>
    <row r="682" spans="1:6" hidden="1" x14ac:dyDescent="0.25">
      <c r="A682" t="s">
        <v>621</v>
      </c>
      <c r="B682" t="s">
        <v>884</v>
      </c>
      <c r="C682" t="s">
        <v>885</v>
      </c>
      <c r="D682" t="s">
        <v>1702</v>
      </c>
      <c r="E682" t="str">
        <f>_xlfn.IFNA(INDEX(RETAIL__29[Nhóm KH], MATCH(DS_Khach_hang[[#This Row],[TÀI KHOẢN LƯU KÝ]], RETAIL__29[Số TK lưu ký KH], 0)) &amp; "", "")</f>
        <v>Standard</v>
      </c>
      <c r="F682" t="str">
        <f>_xlfn.IFNA(INDEX(RETAIL__29[Loại TK], MATCH(DS_Khach_hang[[#This Row],[TÀI KHOẢN LƯU KÝ]], RETAIL__29[Số TK lưu ký KH], 0)) &amp; "", "")</f>
        <v>RETAIL</v>
      </c>
    </row>
    <row r="683" spans="1:6" hidden="1" x14ac:dyDescent="0.25">
      <c r="A683" t="s">
        <v>621</v>
      </c>
      <c r="B683" t="s">
        <v>884</v>
      </c>
      <c r="C683" t="s">
        <v>885</v>
      </c>
      <c r="D683" t="s">
        <v>1703</v>
      </c>
      <c r="E683" t="str">
        <f>_xlfn.IFNA(INDEX(RETAIL__29[Nhóm KH], MATCH(DS_Khach_hang[[#This Row],[TÀI KHOẢN LƯU KÝ]], RETAIL__29[Số TK lưu ký KH], 0)) &amp; "", "")</f>
        <v>Standard</v>
      </c>
      <c r="F683" t="str">
        <f>_xlfn.IFNA(INDEX(RETAIL__29[Loại TK], MATCH(DS_Khach_hang[[#This Row],[TÀI KHOẢN LƯU KÝ]], RETAIL__29[Số TK lưu ký KH], 0)) &amp; "", "")</f>
        <v>RETAIL</v>
      </c>
    </row>
    <row r="684" spans="1:6" hidden="1" x14ac:dyDescent="0.25">
      <c r="A684" t="s">
        <v>621</v>
      </c>
      <c r="B684" t="s">
        <v>886</v>
      </c>
      <c r="C684" t="s">
        <v>887</v>
      </c>
      <c r="D684" t="s">
        <v>1704</v>
      </c>
      <c r="E684" t="str">
        <f>_xlfn.IFNA(INDEX(RETAIL__29[Nhóm KH], MATCH(DS_Khach_hang[[#This Row],[TÀI KHOẢN LƯU KÝ]], RETAIL__29[Số TK lưu ký KH], 0)) &amp; "", "")</f>
        <v>Standard</v>
      </c>
      <c r="F684" t="str">
        <f>_xlfn.IFNA(INDEX(RETAIL__29[Loại TK], MATCH(DS_Khach_hang[[#This Row],[TÀI KHOẢN LƯU KÝ]], RETAIL__29[Số TK lưu ký KH], 0)) &amp; "", "")</f>
        <v>RETAIL</v>
      </c>
    </row>
    <row r="685" spans="1:6" hidden="1" x14ac:dyDescent="0.25">
      <c r="A685" t="s">
        <v>621</v>
      </c>
      <c r="B685" t="s">
        <v>886</v>
      </c>
      <c r="C685" t="s">
        <v>887</v>
      </c>
      <c r="D685" t="s">
        <v>1705</v>
      </c>
      <c r="E685" t="str">
        <f>_xlfn.IFNA(INDEX(RETAIL__29[Nhóm KH], MATCH(DS_Khach_hang[[#This Row],[TÀI KHOẢN LƯU KÝ]], RETAIL__29[Số TK lưu ký KH], 0)) &amp; "", "")</f>
        <v>Standard</v>
      </c>
      <c r="F685" t="str">
        <f>_xlfn.IFNA(INDEX(RETAIL__29[Loại TK], MATCH(DS_Khach_hang[[#This Row],[TÀI KHOẢN LƯU KÝ]], RETAIL__29[Số TK lưu ký KH], 0)) &amp; "", "")</f>
        <v>RETAIL</v>
      </c>
    </row>
    <row r="686" spans="1:6" hidden="1" x14ac:dyDescent="0.25">
      <c r="A686" t="s">
        <v>621</v>
      </c>
      <c r="B686" t="s">
        <v>890</v>
      </c>
      <c r="C686" t="s">
        <v>891</v>
      </c>
      <c r="D686" t="s">
        <v>1706</v>
      </c>
      <c r="E686" t="str">
        <f>_xlfn.IFNA(INDEX(RETAIL__29[Nhóm KH], MATCH(DS_Khach_hang[[#This Row],[TÀI KHOẢN LƯU KÝ]], RETAIL__29[Số TK lưu ký KH], 0)) &amp; "", "")</f>
        <v>Standard</v>
      </c>
      <c r="F686" t="str">
        <f>_xlfn.IFNA(INDEX(RETAIL__29[Loại TK], MATCH(DS_Khach_hang[[#This Row],[TÀI KHOẢN LƯU KÝ]], RETAIL__29[Số TK lưu ký KH], 0)) &amp; "", "")</f>
        <v>RETAIL</v>
      </c>
    </row>
    <row r="687" spans="1:6" hidden="1" x14ac:dyDescent="0.25">
      <c r="A687" t="s">
        <v>621</v>
      </c>
      <c r="B687" t="s">
        <v>890</v>
      </c>
      <c r="C687" t="s">
        <v>891</v>
      </c>
      <c r="D687" t="s">
        <v>1707</v>
      </c>
      <c r="E687" t="str">
        <f>_xlfn.IFNA(INDEX(RETAIL__29[Nhóm KH], MATCH(DS_Khach_hang[[#This Row],[TÀI KHOẢN LƯU KÝ]], RETAIL__29[Số TK lưu ký KH], 0)) &amp; "", "")</f>
        <v>Standard</v>
      </c>
      <c r="F687" t="str">
        <f>_xlfn.IFNA(INDEX(RETAIL__29[Loại TK], MATCH(DS_Khach_hang[[#This Row],[TÀI KHOẢN LƯU KÝ]], RETAIL__29[Số TK lưu ký KH], 0)) &amp; "", "")</f>
        <v>RETAIL</v>
      </c>
    </row>
    <row r="688" spans="1:6" hidden="1" x14ac:dyDescent="0.25">
      <c r="A688" t="s">
        <v>621</v>
      </c>
      <c r="B688" t="s">
        <v>898</v>
      </c>
      <c r="C688" t="s">
        <v>899</v>
      </c>
      <c r="D688" t="s">
        <v>1708</v>
      </c>
      <c r="E688" t="str">
        <f>_xlfn.IFNA(INDEX(RETAIL__29[Nhóm KH], MATCH(DS_Khach_hang[[#This Row],[TÀI KHOẢN LƯU KÝ]], RETAIL__29[Số TK lưu ký KH], 0)) &amp; "", "")</f>
        <v>Standard</v>
      </c>
      <c r="F688" t="str">
        <f>_xlfn.IFNA(INDEX(RETAIL__29[Loại TK], MATCH(DS_Khach_hang[[#This Row],[TÀI KHOẢN LƯU KÝ]], RETAIL__29[Số TK lưu ký KH], 0)) &amp; "", "")</f>
        <v>RETAIL</v>
      </c>
    </row>
    <row r="689" spans="1:6" hidden="1" x14ac:dyDescent="0.25">
      <c r="A689" t="s">
        <v>621</v>
      </c>
      <c r="B689" t="s">
        <v>898</v>
      </c>
      <c r="C689" t="s">
        <v>899</v>
      </c>
      <c r="D689" t="s">
        <v>1709</v>
      </c>
      <c r="E689" t="str">
        <f>_xlfn.IFNA(INDEX(RETAIL__29[Nhóm KH], MATCH(DS_Khach_hang[[#This Row],[TÀI KHOẢN LƯU KÝ]], RETAIL__29[Số TK lưu ký KH], 0)) &amp; "", "")</f>
        <v>Standard</v>
      </c>
      <c r="F689" t="str">
        <f>_xlfn.IFNA(INDEX(RETAIL__29[Loại TK], MATCH(DS_Khach_hang[[#This Row],[TÀI KHOẢN LƯU KÝ]], RETAIL__29[Số TK lưu ký KH], 0)) &amp; "", "")</f>
        <v>RETAIL</v>
      </c>
    </row>
    <row r="690" spans="1:6" hidden="1" x14ac:dyDescent="0.25">
      <c r="A690" t="s">
        <v>621</v>
      </c>
      <c r="B690" t="s">
        <v>902</v>
      </c>
      <c r="C690" t="s">
        <v>903</v>
      </c>
      <c r="D690" t="s">
        <v>1710</v>
      </c>
      <c r="E690" t="str">
        <f>_xlfn.IFNA(INDEX(RETAIL__29[Nhóm KH], MATCH(DS_Khach_hang[[#This Row],[TÀI KHOẢN LƯU KÝ]], RETAIL__29[Số TK lưu ký KH], 0)) &amp; "", "")</f>
        <v>Standard</v>
      </c>
      <c r="F690" t="str">
        <f>_xlfn.IFNA(INDEX(RETAIL__29[Loại TK], MATCH(DS_Khach_hang[[#This Row],[TÀI KHOẢN LƯU KÝ]], RETAIL__29[Số TK lưu ký KH], 0)) &amp; "", "")</f>
        <v>RETAIL</v>
      </c>
    </row>
    <row r="691" spans="1:6" hidden="1" x14ac:dyDescent="0.25">
      <c r="A691" t="s">
        <v>621</v>
      </c>
      <c r="B691" t="s">
        <v>902</v>
      </c>
      <c r="C691" t="s">
        <v>903</v>
      </c>
      <c r="D691" t="s">
        <v>1711</v>
      </c>
      <c r="E691" t="str">
        <f>_xlfn.IFNA(INDEX(RETAIL__29[Nhóm KH], MATCH(DS_Khach_hang[[#This Row],[TÀI KHOẢN LƯU KÝ]], RETAIL__29[Số TK lưu ký KH], 0)) &amp; "", "")</f>
        <v>Standard</v>
      </c>
      <c r="F691" t="str">
        <f>_xlfn.IFNA(INDEX(RETAIL__29[Loại TK], MATCH(DS_Khach_hang[[#This Row],[TÀI KHOẢN LƯU KÝ]], RETAIL__29[Số TK lưu ký KH], 0)) &amp; "", "")</f>
        <v>RETAIL</v>
      </c>
    </row>
    <row r="692" spans="1:6" hidden="1" x14ac:dyDescent="0.25">
      <c r="A692" t="s">
        <v>621</v>
      </c>
      <c r="B692" t="s">
        <v>904</v>
      </c>
      <c r="C692" t="s">
        <v>905</v>
      </c>
      <c r="D692" t="s">
        <v>1712</v>
      </c>
      <c r="E692" t="str">
        <f>_xlfn.IFNA(INDEX(RETAIL__29[Nhóm KH], MATCH(DS_Khach_hang[[#This Row],[TÀI KHOẢN LƯU KÝ]], RETAIL__29[Số TK lưu ký KH], 0)) &amp; "", "")</f>
        <v>Standard</v>
      </c>
      <c r="F692" t="str">
        <f>_xlfn.IFNA(INDEX(RETAIL__29[Loại TK], MATCH(DS_Khach_hang[[#This Row],[TÀI KHOẢN LƯU KÝ]], RETAIL__29[Số TK lưu ký KH], 0)) &amp; "", "")</f>
        <v>RETAIL</v>
      </c>
    </row>
    <row r="693" spans="1:6" hidden="1" x14ac:dyDescent="0.25">
      <c r="A693" t="s">
        <v>621</v>
      </c>
      <c r="B693" t="s">
        <v>904</v>
      </c>
      <c r="C693" t="s">
        <v>905</v>
      </c>
      <c r="D693" t="s">
        <v>1713</v>
      </c>
      <c r="E693" t="str">
        <f>_xlfn.IFNA(INDEX(RETAIL__29[Nhóm KH], MATCH(DS_Khach_hang[[#This Row],[TÀI KHOẢN LƯU KÝ]], RETAIL__29[Số TK lưu ký KH], 0)) &amp; "", "")</f>
        <v>Standard</v>
      </c>
      <c r="F693" t="str">
        <f>_xlfn.IFNA(INDEX(RETAIL__29[Loại TK], MATCH(DS_Khach_hang[[#This Row],[TÀI KHOẢN LƯU KÝ]], RETAIL__29[Số TK lưu ký KH], 0)) &amp; "", "")</f>
        <v>RETAIL</v>
      </c>
    </row>
    <row r="694" spans="1:6" hidden="1" x14ac:dyDescent="0.25">
      <c r="A694" t="s">
        <v>621</v>
      </c>
      <c r="B694" t="s">
        <v>910</v>
      </c>
      <c r="C694" t="s">
        <v>911</v>
      </c>
      <c r="D694" t="s">
        <v>1714</v>
      </c>
      <c r="E694" t="str">
        <f>_xlfn.IFNA(INDEX(RETAIL__29[Nhóm KH], MATCH(DS_Khach_hang[[#This Row],[TÀI KHOẢN LƯU KÝ]], RETAIL__29[Số TK lưu ký KH], 0)) &amp; "", "")</f>
        <v>Standard</v>
      </c>
      <c r="F694" t="str">
        <f>_xlfn.IFNA(INDEX(RETAIL__29[Loại TK], MATCH(DS_Khach_hang[[#This Row],[TÀI KHOẢN LƯU KÝ]], RETAIL__29[Số TK lưu ký KH], 0)) &amp; "", "")</f>
        <v>RETAIL</v>
      </c>
    </row>
    <row r="695" spans="1:6" hidden="1" x14ac:dyDescent="0.25">
      <c r="A695" t="s">
        <v>621</v>
      </c>
      <c r="B695" t="s">
        <v>910</v>
      </c>
      <c r="C695" t="s">
        <v>911</v>
      </c>
      <c r="D695" t="s">
        <v>1715</v>
      </c>
      <c r="E695" t="str">
        <f>_xlfn.IFNA(INDEX(RETAIL__29[Nhóm KH], MATCH(DS_Khach_hang[[#This Row],[TÀI KHOẢN LƯU KÝ]], RETAIL__29[Số TK lưu ký KH], 0)) &amp; "", "")</f>
        <v>Standard</v>
      </c>
      <c r="F695" t="str">
        <f>_xlfn.IFNA(INDEX(RETAIL__29[Loại TK], MATCH(DS_Khach_hang[[#This Row],[TÀI KHOẢN LƯU KÝ]], RETAIL__29[Số TK lưu ký KH], 0)) &amp; "", "")</f>
        <v>RETAIL</v>
      </c>
    </row>
    <row r="696" spans="1:6" hidden="1" x14ac:dyDescent="0.25">
      <c r="A696" t="s">
        <v>621</v>
      </c>
      <c r="B696" t="s">
        <v>912</v>
      </c>
      <c r="C696" t="s">
        <v>913</v>
      </c>
      <c r="D696" t="s">
        <v>1716</v>
      </c>
      <c r="E696" t="str">
        <f>_xlfn.IFNA(INDEX(RETAIL__29[Nhóm KH], MATCH(DS_Khach_hang[[#This Row],[TÀI KHOẢN LƯU KÝ]], RETAIL__29[Số TK lưu ký KH], 0)) &amp; "", "")</f>
        <v>Standard</v>
      </c>
      <c r="F696" t="str">
        <f>_xlfn.IFNA(INDEX(RETAIL__29[Loại TK], MATCH(DS_Khach_hang[[#This Row],[TÀI KHOẢN LƯU KÝ]], RETAIL__29[Số TK lưu ký KH], 0)) &amp; "", "")</f>
        <v>RETAIL</v>
      </c>
    </row>
    <row r="697" spans="1:6" hidden="1" x14ac:dyDescent="0.25">
      <c r="A697" t="s">
        <v>621</v>
      </c>
      <c r="B697" t="s">
        <v>912</v>
      </c>
      <c r="C697" t="s">
        <v>913</v>
      </c>
      <c r="D697" t="s">
        <v>1717</v>
      </c>
      <c r="E697" t="str">
        <f>_xlfn.IFNA(INDEX(RETAIL__29[Nhóm KH], MATCH(DS_Khach_hang[[#This Row],[TÀI KHOẢN LƯU KÝ]], RETAIL__29[Số TK lưu ký KH], 0)) &amp; "", "")</f>
        <v>Standard</v>
      </c>
      <c r="F697" t="str">
        <f>_xlfn.IFNA(INDEX(RETAIL__29[Loại TK], MATCH(DS_Khach_hang[[#This Row],[TÀI KHOẢN LƯU KÝ]], RETAIL__29[Số TK lưu ký KH], 0)) &amp; "", "")</f>
        <v>RETAIL</v>
      </c>
    </row>
    <row r="698" spans="1:6" hidden="1" x14ac:dyDescent="0.25">
      <c r="A698" t="s">
        <v>621</v>
      </c>
      <c r="B698" t="s">
        <v>914</v>
      </c>
      <c r="C698" t="s">
        <v>915</v>
      </c>
      <c r="D698" t="s">
        <v>1718</v>
      </c>
      <c r="E698" t="str">
        <f>_xlfn.IFNA(INDEX(RETAIL__29[Nhóm KH], MATCH(DS_Khach_hang[[#This Row],[TÀI KHOẢN LƯU KÝ]], RETAIL__29[Số TK lưu ký KH], 0)) &amp; "", "")</f>
        <v>Standard</v>
      </c>
      <c r="F698" t="str">
        <f>_xlfn.IFNA(INDEX(RETAIL__29[Loại TK], MATCH(DS_Khach_hang[[#This Row],[TÀI KHOẢN LƯU KÝ]], RETAIL__29[Số TK lưu ký KH], 0)) &amp; "", "")</f>
        <v>RETAIL</v>
      </c>
    </row>
    <row r="699" spans="1:6" hidden="1" x14ac:dyDescent="0.25">
      <c r="A699" t="s">
        <v>621</v>
      </c>
      <c r="B699" t="s">
        <v>914</v>
      </c>
      <c r="C699" t="s">
        <v>915</v>
      </c>
      <c r="D699" t="s">
        <v>1719</v>
      </c>
      <c r="E699" t="str">
        <f>_xlfn.IFNA(INDEX(RETAIL__29[Nhóm KH], MATCH(DS_Khach_hang[[#This Row],[TÀI KHOẢN LƯU KÝ]], RETAIL__29[Số TK lưu ký KH], 0)) &amp; "", "")</f>
        <v>Standard</v>
      </c>
      <c r="F699" t="str">
        <f>_xlfn.IFNA(INDEX(RETAIL__29[Loại TK], MATCH(DS_Khach_hang[[#This Row],[TÀI KHOẢN LƯU KÝ]], RETAIL__29[Số TK lưu ký KH], 0)) &amp; "", "")</f>
        <v>RETAIL</v>
      </c>
    </row>
    <row r="700" spans="1:6" hidden="1" x14ac:dyDescent="0.25">
      <c r="A700" t="s">
        <v>621</v>
      </c>
      <c r="B700" t="s">
        <v>916</v>
      </c>
      <c r="C700" t="s">
        <v>917</v>
      </c>
      <c r="D700" t="s">
        <v>1720</v>
      </c>
      <c r="E700" t="str">
        <f>_xlfn.IFNA(INDEX(RETAIL__29[Nhóm KH], MATCH(DS_Khach_hang[[#This Row],[TÀI KHOẢN LƯU KÝ]], RETAIL__29[Số TK lưu ký KH], 0)) &amp; "", "")</f>
        <v>Standard</v>
      </c>
      <c r="F700" t="str">
        <f>_xlfn.IFNA(INDEX(RETAIL__29[Loại TK], MATCH(DS_Khach_hang[[#This Row],[TÀI KHOẢN LƯU KÝ]], RETAIL__29[Số TK lưu ký KH], 0)) &amp; "", "")</f>
        <v>RETAIL</v>
      </c>
    </row>
    <row r="701" spans="1:6" hidden="1" x14ac:dyDescent="0.25">
      <c r="A701" t="s">
        <v>621</v>
      </c>
      <c r="B701" t="s">
        <v>916</v>
      </c>
      <c r="C701" t="s">
        <v>917</v>
      </c>
      <c r="D701" t="s">
        <v>1721</v>
      </c>
      <c r="E701" t="str">
        <f>_xlfn.IFNA(INDEX(RETAIL__29[Nhóm KH], MATCH(DS_Khach_hang[[#This Row],[TÀI KHOẢN LƯU KÝ]], RETAIL__29[Số TK lưu ký KH], 0)) &amp; "", "")</f>
        <v>Standard</v>
      </c>
      <c r="F701" t="str">
        <f>_xlfn.IFNA(INDEX(RETAIL__29[Loại TK], MATCH(DS_Khach_hang[[#This Row],[TÀI KHOẢN LƯU KÝ]], RETAIL__29[Số TK lưu ký KH], 0)) &amp; "", "")</f>
        <v>RETAIL</v>
      </c>
    </row>
    <row r="702" spans="1:6" hidden="1" x14ac:dyDescent="0.25">
      <c r="A702" t="s">
        <v>504</v>
      </c>
      <c r="B702" t="s">
        <v>0</v>
      </c>
      <c r="C702" t="s">
        <v>510</v>
      </c>
      <c r="D702" t="s">
        <v>1722</v>
      </c>
      <c r="E702" t="s">
        <v>989</v>
      </c>
      <c r="F702" t="s">
        <v>988</v>
      </c>
    </row>
    <row r="703" spans="1:6" hidden="1" x14ac:dyDescent="0.25">
      <c r="A703" t="s">
        <v>504</v>
      </c>
      <c r="B703" t="s">
        <v>0</v>
      </c>
      <c r="C703" t="s">
        <v>510</v>
      </c>
      <c r="D703" t="s">
        <v>1723</v>
      </c>
      <c r="E703" t="s">
        <v>989</v>
      </c>
      <c r="F703" t="s">
        <v>988</v>
      </c>
    </row>
    <row r="704" spans="1:6" hidden="1" x14ac:dyDescent="0.25">
      <c r="A704" t="s">
        <v>504</v>
      </c>
      <c r="B704" t="s">
        <v>508</v>
      </c>
      <c r="C704" t="s">
        <v>509</v>
      </c>
      <c r="D704" t="s">
        <v>1724</v>
      </c>
      <c r="E704" t="s">
        <v>931</v>
      </c>
      <c r="F704" t="s">
        <v>923</v>
      </c>
    </row>
    <row r="705" spans="1:6" hidden="1" x14ac:dyDescent="0.25">
      <c r="A705" t="s">
        <v>504</v>
      </c>
      <c r="B705" t="s">
        <v>508</v>
      </c>
      <c r="C705" t="s">
        <v>509</v>
      </c>
      <c r="D705" t="s">
        <v>1725</v>
      </c>
      <c r="E705" t="s">
        <v>931</v>
      </c>
      <c r="F705" t="s">
        <v>923</v>
      </c>
    </row>
    <row r="706" spans="1:6" hidden="1" x14ac:dyDescent="0.25">
      <c r="A706" t="s">
        <v>504</v>
      </c>
      <c r="B706" t="s">
        <v>505</v>
      </c>
      <c r="C706" t="s">
        <v>506</v>
      </c>
      <c r="D706" t="s">
        <v>1726</v>
      </c>
      <c r="E706" t="s">
        <v>989</v>
      </c>
      <c r="F706" t="s">
        <v>988</v>
      </c>
    </row>
    <row r="707" spans="1:6" hidden="1" x14ac:dyDescent="0.25">
      <c r="A707" t="s">
        <v>504</v>
      </c>
      <c r="B707" t="s">
        <v>505</v>
      </c>
      <c r="C707" t="s">
        <v>506</v>
      </c>
      <c r="D707" t="s">
        <v>1727</v>
      </c>
      <c r="E707" t="s">
        <v>989</v>
      </c>
      <c r="F707" t="s">
        <v>988</v>
      </c>
    </row>
    <row r="708" spans="1:6" hidden="1" x14ac:dyDescent="0.25">
      <c r="A708" t="s">
        <v>504</v>
      </c>
      <c r="B708" t="s">
        <v>513</v>
      </c>
      <c r="C708" t="s">
        <v>514</v>
      </c>
      <c r="D708" t="s">
        <v>1728</v>
      </c>
      <c r="E708" t="s">
        <v>925</v>
      </c>
      <c r="F708" t="s">
        <v>923</v>
      </c>
    </row>
    <row r="709" spans="1:6" hidden="1" x14ac:dyDescent="0.25">
      <c r="A709" t="s">
        <v>504</v>
      </c>
      <c r="B709" t="s">
        <v>513</v>
      </c>
      <c r="C709" t="s">
        <v>514</v>
      </c>
      <c r="D709" t="s">
        <v>1729</v>
      </c>
      <c r="E709" t="s">
        <v>925</v>
      </c>
      <c r="F709" t="s">
        <v>923</v>
      </c>
    </row>
    <row r="710" spans="1:6" hidden="1" x14ac:dyDescent="0.25">
      <c r="A710" t="s">
        <v>504</v>
      </c>
      <c r="B710" t="s">
        <v>515</v>
      </c>
      <c r="C710" t="s">
        <v>516</v>
      </c>
      <c r="D710" t="s">
        <v>1730</v>
      </c>
      <c r="E710" t="s">
        <v>962</v>
      </c>
      <c r="F710" t="s">
        <v>923</v>
      </c>
    </row>
    <row r="711" spans="1:6" hidden="1" x14ac:dyDescent="0.25">
      <c r="A711" t="s">
        <v>504</v>
      </c>
      <c r="B711" t="s">
        <v>515</v>
      </c>
      <c r="C711" t="s">
        <v>516</v>
      </c>
      <c r="D711" t="s">
        <v>1731</v>
      </c>
      <c r="E711" t="s">
        <v>962</v>
      </c>
      <c r="F711" t="s">
        <v>923</v>
      </c>
    </row>
    <row r="712" spans="1:6" hidden="1" x14ac:dyDescent="0.25">
      <c r="A712" t="s">
        <v>504</v>
      </c>
      <c r="B712" t="s">
        <v>507</v>
      </c>
      <c r="C712" t="s">
        <v>504</v>
      </c>
      <c r="D712" t="s">
        <v>1732</v>
      </c>
      <c r="E712" t="s">
        <v>989</v>
      </c>
      <c r="F712" t="s">
        <v>988</v>
      </c>
    </row>
    <row r="713" spans="1:6" hidden="1" x14ac:dyDescent="0.25">
      <c r="A713" t="s">
        <v>504</v>
      </c>
      <c r="B713" t="s">
        <v>507</v>
      </c>
      <c r="C713" t="s">
        <v>504</v>
      </c>
      <c r="D713" t="s">
        <v>1733</v>
      </c>
      <c r="E713" t="s">
        <v>989</v>
      </c>
      <c r="F713" t="s">
        <v>988</v>
      </c>
    </row>
    <row r="714" spans="1:6" hidden="1" x14ac:dyDescent="0.25">
      <c r="A714" t="s">
        <v>504</v>
      </c>
      <c r="B714" t="s">
        <v>517</v>
      </c>
      <c r="C714" t="s">
        <v>518</v>
      </c>
      <c r="D714" t="s">
        <v>1734</v>
      </c>
      <c r="E714" t="s">
        <v>962</v>
      </c>
      <c r="F714" t="s">
        <v>923</v>
      </c>
    </row>
    <row r="715" spans="1:6" hidden="1" x14ac:dyDescent="0.25">
      <c r="A715" t="s">
        <v>504</v>
      </c>
      <c r="B715" t="s">
        <v>517</v>
      </c>
      <c r="C715" t="s">
        <v>518</v>
      </c>
      <c r="D715" t="s">
        <v>1735</v>
      </c>
      <c r="E715" t="s">
        <v>962</v>
      </c>
      <c r="F715" t="s">
        <v>923</v>
      </c>
    </row>
    <row r="716" spans="1:6" hidden="1" x14ac:dyDescent="0.25">
      <c r="A716" t="s">
        <v>504</v>
      </c>
      <c r="B716" t="s">
        <v>511</v>
      </c>
      <c r="C716" t="s">
        <v>512</v>
      </c>
      <c r="D716" t="s">
        <v>1736</v>
      </c>
      <c r="E716" t="s">
        <v>989</v>
      </c>
      <c r="F716" t="s">
        <v>988</v>
      </c>
    </row>
    <row r="717" spans="1:6" hidden="1" x14ac:dyDescent="0.25">
      <c r="A717" t="s">
        <v>504</v>
      </c>
      <c r="B717" t="s">
        <v>511</v>
      </c>
      <c r="C717" t="s">
        <v>512</v>
      </c>
      <c r="D717" t="s">
        <v>1737</v>
      </c>
      <c r="E717" t="s">
        <v>989</v>
      </c>
      <c r="F717" t="s">
        <v>988</v>
      </c>
    </row>
    <row r="718" spans="1:6" hidden="1" x14ac:dyDescent="0.25">
      <c r="A718" t="s">
        <v>611</v>
      </c>
      <c r="B718" t="s">
        <v>165</v>
      </c>
      <c r="C718" t="s">
        <v>162</v>
      </c>
      <c r="D718" t="s">
        <v>1738</v>
      </c>
      <c r="E718" t="s">
        <v>989</v>
      </c>
      <c r="F718" t="s">
        <v>988</v>
      </c>
    </row>
    <row r="719" spans="1:6" hidden="1" x14ac:dyDescent="0.25">
      <c r="A719" t="s">
        <v>611</v>
      </c>
      <c r="B719" t="s">
        <v>165</v>
      </c>
      <c r="C719" t="s">
        <v>162</v>
      </c>
      <c r="D719" t="s">
        <v>1739</v>
      </c>
      <c r="E719" t="s">
        <v>989</v>
      </c>
      <c r="F719" t="s">
        <v>988</v>
      </c>
    </row>
    <row r="720" spans="1:6" hidden="1" x14ac:dyDescent="0.25">
      <c r="A720" t="s">
        <v>611</v>
      </c>
      <c r="B720" t="s">
        <v>166</v>
      </c>
      <c r="C720" t="s">
        <v>167</v>
      </c>
      <c r="D720" t="s">
        <v>1740</v>
      </c>
      <c r="E720" t="s">
        <v>941</v>
      </c>
      <c r="F720" t="s">
        <v>923</v>
      </c>
    </row>
    <row r="721" spans="1:6" hidden="1" x14ac:dyDescent="0.25">
      <c r="A721" t="s">
        <v>611</v>
      </c>
      <c r="B721" t="s">
        <v>166</v>
      </c>
      <c r="C721" t="s">
        <v>167</v>
      </c>
      <c r="D721" t="s">
        <v>1741</v>
      </c>
      <c r="E721" t="s">
        <v>941</v>
      </c>
      <c r="F721" t="s">
        <v>923</v>
      </c>
    </row>
    <row r="722" spans="1:6" hidden="1" x14ac:dyDescent="0.25">
      <c r="A722" t="s">
        <v>611</v>
      </c>
      <c r="B722" t="s">
        <v>168</v>
      </c>
      <c r="C722" t="s">
        <v>169</v>
      </c>
      <c r="D722" t="s">
        <v>1742</v>
      </c>
      <c r="E722" t="s">
        <v>989</v>
      </c>
      <c r="F722" t="s">
        <v>988</v>
      </c>
    </row>
    <row r="723" spans="1:6" hidden="1" x14ac:dyDescent="0.25">
      <c r="A723" t="s">
        <v>611</v>
      </c>
      <c r="B723" t="s">
        <v>168</v>
      </c>
      <c r="C723" t="s">
        <v>169</v>
      </c>
      <c r="D723" t="s">
        <v>1743</v>
      </c>
      <c r="E723" t="s">
        <v>989</v>
      </c>
      <c r="F723" t="s">
        <v>988</v>
      </c>
    </row>
    <row r="724" spans="1:6" hidden="1" x14ac:dyDescent="0.25">
      <c r="A724" t="s">
        <v>611</v>
      </c>
      <c r="B724" t="s">
        <v>170</v>
      </c>
      <c r="C724" t="s">
        <v>171</v>
      </c>
      <c r="D724" t="s">
        <v>1744</v>
      </c>
      <c r="E724" t="s">
        <v>989</v>
      </c>
      <c r="F724" t="s">
        <v>988</v>
      </c>
    </row>
    <row r="725" spans="1:6" hidden="1" x14ac:dyDescent="0.25">
      <c r="A725" t="s">
        <v>611</v>
      </c>
      <c r="B725" t="s">
        <v>170</v>
      </c>
      <c r="C725" t="s">
        <v>171</v>
      </c>
      <c r="D725" t="s">
        <v>1745</v>
      </c>
      <c r="E725" t="s">
        <v>989</v>
      </c>
      <c r="F725" t="s">
        <v>988</v>
      </c>
    </row>
    <row r="726" spans="1:6" hidden="1" x14ac:dyDescent="0.25">
      <c r="A726" t="s">
        <v>611</v>
      </c>
      <c r="B726" t="s">
        <v>172</v>
      </c>
      <c r="C726" t="s">
        <v>173</v>
      </c>
      <c r="D726" t="s">
        <v>1746</v>
      </c>
      <c r="E726" t="s">
        <v>989</v>
      </c>
      <c r="F726" t="s">
        <v>988</v>
      </c>
    </row>
    <row r="727" spans="1:6" hidden="1" x14ac:dyDescent="0.25">
      <c r="A727" t="s">
        <v>611</v>
      </c>
      <c r="B727" t="s">
        <v>172</v>
      </c>
      <c r="C727" t="s">
        <v>173</v>
      </c>
      <c r="D727" t="s">
        <v>1747</v>
      </c>
      <c r="E727" t="s">
        <v>989</v>
      </c>
      <c r="F727" t="s">
        <v>988</v>
      </c>
    </row>
    <row r="728" spans="1:6" hidden="1" x14ac:dyDescent="0.25">
      <c r="A728" t="s">
        <v>611</v>
      </c>
      <c r="B728" t="s">
        <v>174</v>
      </c>
      <c r="C728" t="s">
        <v>175</v>
      </c>
      <c r="D728" t="s">
        <v>1748</v>
      </c>
      <c r="E728" t="s">
        <v>989</v>
      </c>
      <c r="F728" t="s">
        <v>988</v>
      </c>
    </row>
    <row r="729" spans="1:6" hidden="1" x14ac:dyDescent="0.25">
      <c r="A729" t="s">
        <v>611</v>
      </c>
      <c r="B729" t="s">
        <v>174</v>
      </c>
      <c r="C729" t="s">
        <v>175</v>
      </c>
      <c r="D729" t="s">
        <v>1749</v>
      </c>
      <c r="E729" t="s">
        <v>989</v>
      </c>
      <c r="F729" t="s">
        <v>988</v>
      </c>
    </row>
    <row r="730" spans="1:6" hidden="1" x14ac:dyDescent="0.25">
      <c r="A730" t="s">
        <v>611</v>
      </c>
      <c r="B730" t="s">
        <v>176</v>
      </c>
      <c r="C730" t="s">
        <v>177</v>
      </c>
      <c r="D730" t="s">
        <v>1750</v>
      </c>
      <c r="E730" t="s">
        <v>989</v>
      </c>
      <c r="F730" t="s">
        <v>988</v>
      </c>
    </row>
    <row r="731" spans="1:6" hidden="1" x14ac:dyDescent="0.25">
      <c r="A731" t="s">
        <v>611</v>
      </c>
      <c r="B731" t="s">
        <v>176</v>
      </c>
      <c r="C731" t="s">
        <v>177</v>
      </c>
      <c r="D731" t="s">
        <v>1751</v>
      </c>
      <c r="E731" t="s">
        <v>989</v>
      </c>
      <c r="F731" t="s">
        <v>988</v>
      </c>
    </row>
    <row r="732" spans="1:6" hidden="1" x14ac:dyDescent="0.25">
      <c r="A732" t="s">
        <v>611</v>
      </c>
      <c r="B732" t="s">
        <v>178</v>
      </c>
      <c r="C732" t="s">
        <v>179</v>
      </c>
      <c r="D732" t="s">
        <v>1752</v>
      </c>
      <c r="E732" t="s">
        <v>989</v>
      </c>
      <c r="F732" t="s">
        <v>988</v>
      </c>
    </row>
    <row r="733" spans="1:6" hidden="1" x14ac:dyDescent="0.25">
      <c r="A733" t="s">
        <v>611</v>
      </c>
      <c r="B733" t="s">
        <v>178</v>
      </c>
      <c r="C733" t="s">
        <v>179</v>
      </c>
      <c r="D733" t="s">
        <v>1753</v>
      </c>
      <c r="E733" t="s">
        <v>989</v>
      </c>
      <c r="F733" t="s">
        <v>988</v>
      </c>
    </row>
    <row r="734" spans="1:6" hidden="1" x14ac:dyDescent="0.25">
      <c r="A734" t="s">
        <v>611</v>
      </c>
      <c r="B734" t="s">
        <v>180</v>
      </c>
      <c r="C734" t="s">
        <v>181</v>
      </c>
      <c r="D734" t="s">
        <v>1754</v>
      </c>
      <c r="E734" t="s">
        <v>989</v>
      </c>
      <c r="F734" t="s">
        <v>988</v>
      </c>
    </row>
    <row r="735" spans="1:6" hidden="1" x14ac:dyDescent="0.25">
      <c r="A735" t="s">
        <v>611</v>
      </c>
      <c r="B735" t="s">
        <v>180</v>
      </c>
      <c r="C735" t="s">
        <v>181</v>
      </c>
      <c r="D735" t="s">
        <v>1755</v>
      </c>
      <c r="E735" t="s">
        <v>989</v>
      </c>
      <c r="F735" t="s">
        <v>988</v>
      </c>
    </row>
    <row r="736" spans="1:6" hidden="1" x14ac:dyDescent="0.25">
      <c r="A736" t="s">
        <v>611</v>
      </c>
      <c r="B736" t="s">
        <v>182</v>
      </c>
      <c r="C736" t="s">
        <v>183</v>
      </c>
      <c r="D736" t="s">
        <v>1756</v>
      </c>
      <c r="E736" t="s">
        <v>989</v>
      </c>
      <c r="F736" t="s">
        <v>988</v>
      </c>
    </row>
    <row r="737" spans="1:6" hidden="1" x14ac:dyDescent="0.25">
      <c r="A737" t="s">
        <v>611</v>
      </c>
      <c r="B737" t="s">
        <v>182</v>
      </c>
      <c r="C737" t="s">
        <v>183</v>
      </c>
      <c r="D737" t="s">
        <v>1757</v>
      </c>
      <c r="E737" t="s">
        <v>989</v>
      </c>
      <c r="F737" t="s">
        <v>988</v>
      </c>
    </row>
    <row r="738" spans="1:6" hidden="1" x14ac:dyDescent="0.25">
      <c r="A738" t="s">
        <v>611</v>
      </c>
      <c r="B738" t="s">
        <v>184</v>
      </c>
      <c r="C738" t="s">
        <v>185</v>
      </c>
      <c r="D738" t="s">
        <v>1758</v>
      </c>
      <c r="E738" t="s">
        <v>989</v>
      </c>
      <c r="F738" t="s">
        <v>988</v>
      </c>
    </row>
    <row r="739" spans="1:6" hidden="1" x14ac:dyDescent="0.25">
      <c r="A739" t="s">
        <v>611</v>
      </c>
      <c r="B739" t="s">
        <v>184</v>
      </c>
      <c r="C739" t="s">
        <v>185</v>
      </c>
      <c r="D739" t="s">
        <v>1759</v>
      </c>
      <c r="E739" t="s">
        <v>989</v>
      </c>
      <c r="F739" t="s">
        <v>988</v>
      </c>
    </row>
    <row r="740" spans="1:6" hidden="1" x14ac:dyDescent="0.25">
      <c r="A740" t="s">
        <v>611</v>
      </c>
      <c r="B740" t="s">
        <v>186</v>
      </c>
      <c r="C740" t="s">
        <v>187</v>
      </c>
      <c r="D740" t="s">
        <v>1760</v>
      </c>
      <c r="E740" t="s">
        <v>989</v>
      </c>
      <c r="F740" t="s">
        <v>988</v>
      </c>
    </row>
    <row r="741" spans="1:6" hidden="1" x14ac:dyDescent="0.25">
      <c r="A741" t="s">
        <v>611</v>
      </c>
      <c r="B741" t="s">
        <v>186</v>
      </c>
      <c r="C741" t="s">
        <v>187</v>
      </c>
      <c r="D741" t="s">
        <v>1761</v>
      </c>
      <c r="E741" t="s">
        <v>989</v>
      </c>
      <c r="F741" t="s">
        <v>988</v>
      </c>
    </row>
    <row r="742" spans="1:6" hidden="1" x14ac:dyDescent="0.25">
      <c r="A742" t="s">
        <v>611</v>
      </c>
      <c r="B742" t="s">
        <v>188</v>
      </c>
      <c r="C742" t="s">
        <v>189</v>
      </c>
      <c r="D742" t="s">
        <v>1762</v>
      </c>
      <c r="E742" t="s">
        <v>989</v>
      </c>
      <c r="F742" t="s">
        <v>988</v>
      </c>
    </row>
    <row r="743" spans="1:6" hidden="1" x14ac:dyDescent="0.25">
      <c r="A743" t="s">
        <v>611</v>
      </c>
      <c r="B743" t="s">
        <v>188</v>
      </c>
      <c r="C743" t="s">
        <v>189</v>
      </c>
      <c r="D743" t="s">
        <v>1763</v>
      </c>
      <c r="E743" t="s">
        <v>989</v>
      </c>
      <c r="F743" t="s">
        <v>988</v>
      </c>
    </row>
    <row r="744" spans="1:6" hidden="1" x14ac:dyDescent="0.25">
      <c r="A744" t="s">
        <v>611</v>
      </c>
      <c r="B744" t="s">
        <v>190</v>
      </c>
      <c r="C744" t="s">
        <v>191</v>
      </c>
      <c r="D744" t="s">
        <v>1764</v>
      </c>
      <c r="E744" t="s">
        <v>989</v>
      </c>
      <c r="F744" t="s">
        <v>988</v>
      </c>
    </row>
    <row r="745" spans="1:6" hidden="1" x14ac:dyDescent="0.25">
      <c r="A745" t="s">
        <v>611</v>
      </c>
      <c r="B745" t="s">
        <v>190</v>
      </c>
      <c r="C745" t="s">
        <v>191</v>
      </c>
      <c r="D745" t="s">
        <v>1765</v>
      </c>
      <c r="E745" t="s">
        <v>989</v>
      </c>
      <c r="F745" t="s">
        <v>988</v>
      </c>
    </row>
    <row r="746" spans="1:6" hidden="1" x14ac:dyDescent="0.25">
      <c r="A746" t="s">
        <v>611</v>
      </c>
      <c r="B746" t="s">
        <v>192</v>
      </c>
      <c r="C746" t="s">
        <v>193</v>
      </c>
      <c r="D746" t="s">
        <v>1766</v>
      </c>
      <c r="E746" t="s">
        <v>989</v>
      </c>
      <c r="F746" t="s">
        <v>988</v>
      </c>
    </row>
    <row r="747" spans="1:6" hidden="1" x14ac:dyDescent="0.25">
      <c r="A747" t="s">
        <v>611</v>
      </c>
      <c r="B747" t="s">
        <v>192</v>
      </c>
      <c r="C747" t="s">
        <v>193</v>
      </c>
      <c r="D747" t="s">
        <v>1767</v>
      </c>
      <c r="E747" t="s">
        <v>989</v>
      </c>
      <c r="F747" t="s">
        <v>988</v>
      </c>
    </row>
    <row r="748" spans="1:6" hidden="1" x14ac:dyDescent="0.25">
      <c r="A748" t="s">
        <v>611</v>
      </c>
      <c r="B748" t="s">
        <v>194</v>
      </c>
      <c r="C748" t="s">
        <v>195</v>
      </c>
      <c r="D748" t="s">
        <v>1768</v>
      </c>
      <c r="E748" t="s">
        <v>989</v>
      </c>
      <c r="F748" t="s">
        <v>988</v>
      </c>
    </row>
    <row r="749" spans="1:6" hidden="1" x14ac:dyDescent="0.25">
      <c r="A749" t="s">
        <v>611</v>
      </c>
      <c r="B749" t="s">
        <v>194</v>
      </c>
      <c r="C749" t="s">
        <v>195</v>
      </c>
      <c r="D749" t="s">
        <v>1769</v>
      </c>
      <c r="E749" t="s">
        <v>989</v>
      </c>
      <c r="F749" t="s">
        <v>988</v>
      </c>
    </row>
    <row r="750" spans="1:6" hidden="1" x14ac:dyDescent="0.25">
      <c r="A750" t="s">
        <v>611</v>
      </c>
      <c r="B750" t="s">
        <v>196</v>
      </c>
      <c r="C750" t="s">
        <v>197</v>
      </c>
      <c r="D750" t="s">
        <v>1770</v>
      </c>
      <c r="E750" t="s">
        <v>989</v>
      </c>
      <c r="F750" t="s">
        <v>988</v>
      </c>
    </row>
    <row r="751" spans="1:6" hidden="1" x14ac:dyDescent="0.25">
      <c r="A751" t="s">
        <v>611</v>
      </c>
      <c r="B751" t="s">
        <v>196</v>
      </c>
      <c r="C751" t="s">
        <v>197</v>
      </c>
      <c r="D751" t="s">
        <v>1771</v>
      </c>
      <c r="E751" t="s">
        <v>989</v>
      </c>
      <c r="F751" t="s">
        <v>988</v>
      </c>
    </row>
    <row r="752" spans="1:6" hidden="1" x14ac:dyDescent="0.25">
      <c r="A752" t="s">
        <v>611</v>
      </c>
      <c r="B752" t="s">
        <v>198</v>
      </c>
      <c r="C752" t="s">
        <v>199</v>
      </c>
      <c r="D752" t="s">
        <v>1772</v>
      </c>
      <c r="E752" t="s">
        <v>989</v>
      </c>
      <c r="F752" t="s">
        <v>988</v>
      </c>
    </row>
    <row r="753" spans="1:6" hidden="1" x14ac:dyDescent="0.25">
      <c r="A753" t="s">
        <v>611</v>
      </c>
      <c r="B753" t="s">
        <v>198</v>
      </c>
      <c r="C753" t="s">
        <v>199</v>
      </c>
      <c r="D753" t="s">
        <v>1773</v>
      </c>
      <c r="E753" t="s">
        <v>989</v>
      </c>
      <c r="F753" t="s">
        <v>988</v>
      </c>
    </row>
    <row r="754" spans="1:6" hidden="1" x14ac:dyDescent="0.25">
      <c r="A754" t="s">
        <v>611</v>
      </c>
      <c r="B754" t="s">
        <v>200</v>
      </c>
      <c r="C754" t="s">
        <v>201</v>
      </c>
      <c r="D754" t="s">
        <v>1774</v>
      </c>
      <c r="E754" t="s">
        <v>989</v>
      </c>
      <c r="F754" t="s">
        <v>988</v>
      </c>
    </row>
    <row r="755" spans="1:6" hidden="1" x14ac:dyDescent="0.25">
      <c r="A755" t="s">
        <v>611</v>
      </c>
      <c r="B755" t="s">
        <v>200</v>
      </c>
      <c r="C755" t="s">
        <v>201</v>
      </c>
      <c r="D755" t="s">
        <v>1775</v>
      </c>
      <c r="E755" t="s">
        <v>989</v>
      </c>
      <c r="F755" t="s">
        <v>988</v>
      </c>
    </row>
    <row r="756" spans="1:6" hidden="1" x14ac:dyDescent="0.25">
      <c r="A756" t="s">
        <v>611</v>
      </c>
      <c r="B756" t="s">
        <v>202</v>
      </c>
      <c r="C756" t="s">
        <v>203</v>
      </c>
      <c r="D756" t="s">
        <v>1776</v>
      </c>
      <c r="E756" t="s">
        <v>989</v>
      </c>
      <c r="F756" t="s">
        <v>988</v>
      </c>
    </row>
    <row r="757" spans="1:6" hidden="1" x14ac:dyDescent="0.25">
      <c r="A757" t="s">
        <v>611</v>
      </c>
      <c r="B757" t="s">
        <v>202</v>
      </c>
      <c r="C757" t="s">
        <v>203</v>
      </c>
      <c r="D757" t="s">
        <v>1777</v>
      </c>
      <c r="E757" t="s">
        <v>989</v>
      </c>
      <c r="F757" t="s">
        <v>988</v>
      </c>
    </row>
    <row r="758" spans="1:6" hidden="1" x14ac:dyDescent="0.25">
      <c r="A758" t="s">
        <v>611</v>
      </c>
      <c r="B758" t="s">
        <v>204</v>
      </c>
      <c r="C758" t="s">
        <v>205</v>
      </c>
      <c r="D758" t="s">
        <v>1778</v>
      </c>
      <c r="E758" t="s">
        <v>989</v>
      </c>
      <c r="F758" t="s">
        <v>988</v>
      </c>
    </row>
    <row r="759" spans="1:6" hidden="1" x14ac:dyDescent="0.25">
      <c r="A759" t="s">
        <v>611</v>
      </c>
      <c r="B759" t="s">
        <v>204</v>
      </c>
      <c r="C759" t="s">
        <v>205</v>
      </c>
      <c r="D759" t="s">
        <v>1779</v>
      </c>
      <c r="E759" t="s">
        <v>989</v>
      </c>
      <c r="F759" t="s">
        <v>988</v>
      </c>
    </row>
    <row r="760" spans="1:6" hidden="1" x14ac:dyDescent="0.25">
      <c r="A760" t="s">
        <v>611</v>
      </c>
      <c r="B760" t="s">
        <v>206</v>
      </c>
      <c r="C760" t="s">
        <v>207</v>
      </c>
      <c r="D760" t="s">
        <v>1780</v>
      </c>
      <c r="E760" t="s">
        <v>989</v>
      </c>
      <c r="F760" t="s">
        <v>988</v>
      </c>
    </row>
    <row r="761" spans="1:6" hidden="1" x14ac:dyDescent="0.25">
      <c r="A761" t="s">
        <v>611</v>
      </c>
      <c r="B761" t="s">
        <v>206</v>
      </c>
      <c r="C761" t="s">
        <v>207</v>
      </c>
      <c r="D761" t="s">
        <v>1781</v>
      </c>
      <c r="E761" t="s">
        <v>989</v>
      </c>
      <c r="F761" t="s">
        <v>988</v>
      </c>
    </row>
    <row r="762" spans="1:6" hidden="1" x14ac:dyDescent="0.25">
      <c r="A762" t="s">
        <v>611</v>
      </c>
      <c r="B762" t="s">
        <v>163</v>
      </c>
      <c r="C762" t="s">
        <v>164</v>
      </c>
      <c r="D762" t="s">
        <v>1782</v>
      </c>
      <c r="E762" t="s">
        <v>975</v>
      </c>
      <c r="F762" t="s">
        <v>923</v>
      </c>
    </row>
    <row r="763" spans="1:6" hidden="1" x14ac:dyDescent="0.25">
      <c r="A763" t="s">
        <v>611</v>
      </c>
      <c r="B763" t="s">
        <v>163</v>
      </c>
      <c r="C763" t="s">
        <v>164</v>
      </c>
      <c r="D763" t="s">
        <v>1783</v>
      </c>
      <c r="E763" t="s">
        <v>975</v>
      </c>
      <c r="F763" t="s">
        <v>923</v>
      </c>
    </row>
    <row r="764" spans="1:6" hidden="1" x14ac:dyDescent="0.25">
      <c r="A764" t="s">
        <v>611</v>
      </c>
      <c r="B764" t="s">
        <v>222</v>
      </c>
      <c r="C764" t="s">
        <v>223</v>
      </c>
      <c r="D764" t="s">
        <v>1784</v>
      </c>
      <c r="E764" t="s">
        <v>959</v>
      </c>
      <c r="F764" t="s">
        <v>923</v>
      </c>
    </row>
    <row r="765" spans="1:6" hidden="1" x14ac:dyDescent="0.25">
      <c r="A765" t="s">
        <v>611</v>
      </c>
      <c r="B765" t="s">
        <v>222</v>
      </c>
      <c r="C765" t="s">
        <v>223</v>
      </c>
      <c r="D765" t="s">
        <v>1785</v>
      </c>
      <c r="E765" t="s">
        <v>959</v>
      </c>
      <c r="F765" t="s">
        <v>923</v>
      </c>
    </row>
    <row r="766" spans="1:6" hidden="1" x14ac:dyDescent="0.25">
      <c r="A766" t="s">
        <v>611</v>
      </c>
      <c r="B766" t="s">
        <v>208</v>
      </c>
      <c r="C766" t="s">
        <v>209</v>
      </c>
      <c r="D766" t="s">
        <v>1786</v>
      </c>
      <c r="E766" t="s">
        <v>989</v>
      </c>
      <c r="F766" t="s">
        <v>988</v>
      </c>
    </row>
    <row r="767" spans="1:6" hidden="1" x14ac:dyDescent="0.25">
      <c r="A767" t="s">
        <v>611</v>
      </c>
      <c r="B767" t="s">
        <v>208</v>
      </c>
      <c r="C767" t="s">
        <v>209</v>
      </c>
      <c r="D767" t="s">
        <v>1787</v>
      </c>
      <c r="E767" t="s">
        <v>989</v>
      </c>
      <c r="F767" t="s">
        <v>988</v>
      </c>
    </row>
    <row r="768" spans="1:6" hidden="1" x14ac:dyDescent="0.25">
      <c r="A768" t="s">
        <v>611</v>
      </c>
      <c r="B768" t="s">
        <v>210</v>
      </c>
      <c r="C768" t="s">
        <v>211</v>
      </c>
      <c r="D768" t="s">
        <v>1788</v>
      </c>
      <c r="E768" t="s">
        <v>989</v>
      </c>
      <c r="F768" t="s">
        <v>988</v>
      </c>
    </row>
    <row r="769" spans="1:6" hidden="1" x14ac:dyDescent="0.25">
      <c r="A769" t="s">
        <v>611</v>
      </c>
      <c r="B769" t="s">
        <v>210</v>
      </c>
      <c r="C769" t="s">
        <v>211</v>
      </c>
      <c r="D769" t="s">
        <v>1789</v>
      </c>
      <c r="E769" t="s">
        <v>989</v>
      </c>
      <c r="F769" t="s">
        <v>988</v>
      </c>
    </row>
    <row r="770" spans="1:6" hidden="1" x14ac:dyDescent="0.25">
      <c r="A770" t="s">
        <v>611</v>
      </c>
      <c r="B770" t="s">
        <v>220</v>
      </c>
      <c r="C770" t="s">
        <v>221</v>
      </c>
      <c r="D770" t="s">
        <v>1790</v>
      </c>
      <c r="E770" t="s">
        <v>962</v>
      </c>
      <c r="F770" t="s">
        <v>923</v>
      </c>
    </row>
    <row r="771" spans="1:6" hidden="1" x14ac:dyDescent="0.25">
      <c r="A771" t="s">
        <v>611</v>
      </c>
      <c r="B771" t="s">
        <v>220</v>
      </c>
      <c r="C771" t="s">
        <v>221</v>
      </c>
      <c r="D771" t="s">
        <v>1791</v>
      </c>
      <c r="E771" t="s">
        <v>962</v>
      </c>
      <c r="F771" t="s">
        <v>923</v>
      </c>
    </row>
    <row r="772" spans="1:6" hidden="1" x14ac:dyDescent="0.25">
      <c r="A772" t="s">
        <v>611</v>
      </c>
      <c r="B772" t="s">
        <v>212</v>
      </c>
      <c r="C772" t="s">
        <v>213</v>
      </c>
      <c r="D772" t="s">
        <v>1792</v>
      </c>
      <c r="E772" t="s">
        <v>989</v>
      </c>
      <c r="F772" t="s">
        <v>988</v>
      </c>
    </row>
    <row r="773" spans="1:6" hidden="1" x14ac:dyDescent="0.25">
      <c r="A773" t="s">
        <v>611</v>
      </c>
      <c r="B773" t="s">
        <v>212</v>
      </c>
      <c r="C773" t="s">
        <v>213</v>
      </c>
      <c r="D773" t="s">
        <v>1793</v>
      </c>
      <c r="E773" t="s">
        <v>989</v>
      </c>
      <c r="F773" t="s">
        <v>988</v>
      </c>
    </row>
    <row r="774" spans="1:6" hidden="1" x14ac:dyDescent="0.25">
      <c r="A774" t="s">
        <v>611</v>
      </c>
      <c r="B774" t="s">
        <v>214</v>
      </c>
      <c r="C774" t="s">
        <v>215</v>
      </c>
      <c r="D774" t="s">
        <v>1794</v>
      </c>
      <c r="E774" t="s">
        <v>989</v>
      </c>
      <c r="F774" t="s">
        <v>988</v>
      </c>
    </row>
    <row r="775" spans="1:6" hidden="1" x14ac:dyDescent="0.25">
      <c r="A775" t="s">
        <v>611</v>
      </c>
      <c r="B775" t="s">
        <v>214</v>
      </c>
      <c r="C775" t="s">
        <v>215</v>
      </c>
      <c r="D775" t="s">
        <v>1795</v>
      </c>
      <c r="E775" t="s">
        <v>989</v>
      </c>
      <c r="F775" t="s">
        <v>988</v>
      </c>
    </row>
    <row r="776" spans="1:6" hidden="1" x14ac:dyDescent="0.25">
      <c r="A776" t="s">
        <v>611</v>
      </c>
      <c r="B776" t="s">
        <v>216</v>
      </c>
      <c r="C776" t="s">
        <v>217</v>
      </c>
      <c r="D776" t="s">
        <v>1796</v>
      </c>
      <c r="E776" t="s">
        <v>989</v>
      </c>
      <c r="F776" t="s">
        <v>988</v>
      </c>
    </row>
    <row r="777" spans="1:6" hidden="1" x14ac:dyDescent="0.25">
      <c r="A777" t="s">
        <v>611</v>
      </c>
      <c r="B777" t="s">
        <v>216</v>
      </c>
      <c r="C777" t="s">
        <v>217</v>
      </c>
      <c r="D777" t="s">
        <v>1797</v>
      </c>
      <c r="E777" t="s">
        <v>989</v>
      </c>
      <c r="F777" t="s">
        <v>988</v>
      </c>
    </row>
    <row r="778" spans="1:6" hidden="1" x14ac:dyDescent="0.25">
      <c r="A778" t="s">
        <v>611</v>
      </c>
      <c r="B778" t="s">
        <v>218</v>
      </c>
      <c r="C778" t="s">
        <v>219</v>
      </c>
      <c r="D778" t="s">
        <v>1798</v>
      </c>
      <c r="E778" t="s">
        <v>989</v>
      </c>
      <c r="F778" t="s">
        <v>988</v>
      </c>
    </row>
    <row r="779" spans="1:6" hidden="1" x14ac:dyDescent="0.25">
      <c r="A779" t="s">
        <v>611</v>
      </c>
      <c r="B779" t="s">
        <v>218</v>
      </c>
      <c r="C779" t="s">
        <v>219</v>
      </c>
      <c r="D779" t="s">
        <v>1799</v>
      </c>
      <c r="E779" t="s">
        <v>989</v>
      </c>
      <c r="F779" t="s">
        <v>988</v>
      </c>
    </row>
    <row r="780" spans="1:6" hidden="1" x14ac:dyDescent="0.25">
      <c r="A780" t="s">
        <v>162</v>
      </c>
      <c r="B780" t="s">
        <v>703</v>
      </c>
      <c r="C780" t="s">
        <v>4</v>
      </c>
      <c r="D780" t="s">
        <v>1800</v>
      </c>
      <c r="E780" t="str">
        <f>_xlfn.IFNA(INDEX(RETAIL__29[Nhóm KH], MATCH(DS_Khach_hang[[#This Row],[TÀI KHOẢN LƯU KÝ]], RETAIL__29[Số TK lưu ký KH], 0)) &amp; "", "")</f>
        <v>Standard</v>
      </c>
      <c r="F780" t="str">
        <f>_xlfn.IFNA(INDEX(RETAIL__29[Loại TK], MATCH(DS_Khach_hang[[#This Row],[TÀI KHOẢN LƯU KÝ]], RETAIL__29[Số TK lưu ký KH], 0)) &amp; "", "")</f>
        <v>RETAIL</v>
      </c>
    </row>
    <row r="781" spans="1:6" hidden="1" x14ac:dyDescent="0.25">
      <c r="A781" t="s">
        <v>162</v>
      </c>
      <c r="B781" t="s">
        <v>703</v>
      </c>
      <c r="C781" t="s">
        <v>4</v>
      </c>
      <c r="D781" t="s">
        <v>1801</v>
      </c>
      <c r="E781" t="str">
        <f>_xlfn.IFNA(INDEX(RETAIL__29[Nhóm KH], MATCH(DS_Khach_hang[[#This Row],[TÀI KHOẢN LƯU KÝ]], RETAIL__29[Số TK lưu ký KH], 0)) &amp; "", "")</f>
        <v>Standard</v>
      </c>
      <c r="F781" t="str">
        <f>_xlfn.IFNA(INDEX(RETAIL__29[Loại TK], MATCH(DS_Khach_hang[[#This Row],[TÀI KHOẢN LƯU KÝ]], RETAIL__29[Số TK lưu ký KH], 0)) &amp; "", "")</f>
        <v>RETAIL</v>
      </c>
    </row>
    <row r="782" spans="1:6" hidden="1" x14ac:dyDescent="0.25">
      <c r="A782" t="s">
        <v>162</v>
      </c>
      <c r="B782" t="s">
        <v>772</v>
      </c>
      <c r="C782" t="s">
        <v>773</v>
      </c>
      <c r="D782" t="s">
        <v>1802</v>
      </c>
      <c r="E782" t="str">
        <f>_xlfn.IFNA(INDEX(RETAIL__29[Nhóm KH], MATCH(DS_Khach_hang[[#This Row],[TÀI KHOẢN LƯU KÝ]], RETAIL__29[Số TK lưu ký KH], 0)) &amp; "", "")</f>
        <v>Standard</v>
      </c>
      <c r="F782" t="str">
        <f>_xlfn.IFNA(INDEX(RETAIL__29[Loại TK], MATCH(DS_Khach_hang[[#This Row],[TÀI KHOẢN LƯU KÝ]], RETAIL__29[Số TK lưu ký KH], 0)) &amp; "", "")</f>
        <v>RETAIL</v>
      </c>
    </row>
    <row r="783" spans="1:6" hidden="1" x14ac:dyDescent="0.25">
      <c r="A783" t="s">
        <v>162</v>
      </c>
      <c r="B783" t="s">
        <v>772</v>
      </c>
      <c r="C783" t="s">
        <v>773</v>
      </c>
      <c r="D783" t="s">
        <v>1803</v>
      </c>
      <c r="E783" t="str">
        <f>_xlfn.IFNA(INDEX(RETAIL__29[Nhóm KH], MATCH(DS_Khach_hang[[#This Row],[TÀI KHOẢN LƯU KÝ]], RETAIL__29[Số TK lưu ký KH], 0)) &amp; "", "")</f>
        <v>Standard</v>
      </c>
      <c r="F783" t="str">
        <f>_xlfn.IFNA(INDEX(RETAIL__29[Loại TK], MATCH(DS_Khach_hang[[#This Row],[TÀI KHOẢN LƯU KÝ]], RETAIL__29[Số TK lưu ký KH], 0)) &amp; "", "")</f>
        <v>RETAIL</v>
      </c>
    </row>
    <row r="784" spans="1:6" hidden="1" x14ac:dyDescent="0.25">
      <c r="A784" t="s">
        <v>474</v>
      </c>
      <c r="B784" t="s">
        <v>477</v>
      </c>
      <c r="C784" t="s">
        <v>478</v>
      </c>
      <c r="D784" t="s">
        <v>1804</v>
      </c>
      <c r="E784" t="s">
        <v>989</v>
      </c>
      <c r="F784" t="s">
        <v>988</v>
      </c>
    </row>
    <row r="785" spans="1:6" hidden="1" x14ac:dyDescent="0.25">
      <c r="A785" t="s">
        <v>474</v>
      </c>
      <c r="B785" t="s">
        <v>477</v>
      </c>
      <c r="C785" t="s">
        <v>478</v>
      </c>
      <c r="D785" t="s">
        <v>1805</v>
      </c>
      <c r="E785" t="s">
        <v>989</v>
      </c>
      <c r="F785" t="s">
        <v>988</v>
      </c>
    </row>
    <row r="786" spans="1:6" x14ac:dyDescent="0.25">
      <c r="A786" t="s">
        <v>474</v>
      </c>
      <c r="B786" t="s">
        <v>485</v>
      </c>
      <c r="C786" t="s">
        <v>486</v>
      </c>
      <c r="D786" t="s">
        <v>1806</v>
      </c>
      <c r="E786" t="s">
        <v>1020</v>
      </c>
      <c r="F786" t="s">
        <v>923</v>
      </c>
    </row>
    <row r="787" spans="1:6" x14ac:dyDescent="0.25">
      <c r="A787" t="s">
        <v>474</v>
      </c>
      <c r="B787" t="s">
        <v>485</v>
      </c>
      <c r="C787" t="s">
        <v>486</v>
      </c>
      <c r="D787" t="s">
        <v>1807</v>
      </c>
      <c r="E787" t="s">
        <v>1020</v>
      </c>
      <c r="F787" t="s">
        <v>923</v>
      </c>
    </row>
    <row r="788" spans="1:6" hidden="1" x14ac:dyDescent="0.25">
      <c r="A788" t="s">
        <v>474</v>
      </c>
      <c r="B788" t="s">
        <v>475</v>
      </c>
      <c r="C788" t="s">
        <v>476</v>
      </c>
      <c r="D788" t="s">
        <v>1808</v>
      </c>
      <c r="E788" t="s">
        <v>989</v>
      </c>
      <c r="F788" t="s">
        <v>988</v>
      </c>
    </row>
    <row r="789" spans="1:6" hidden="1" x14ac:dyDescent="0.25">
      <c r="A789" t="s">
        <v>474</v>
      </c>
      <c r="B789" t="s">
        <v>475</v>
      </c>
      <c r="C789" t="s">
        <v>476</v>
      </c>
      <c r="D789" t="s">
        <v>1809</v>
      </c>
      <c r="E789" t="s">
        <v>989</v>
      </c>
      <c r="F789" t="s">
        <v>988</v>
      </c>
    </row>
    <row r="790" spans="1:6" x14ac:dyDescent="0.25">
      <c r="A790" t="s">
        <v>474</v>
      </c>
      <c r="B790" t="s">
        <v>479</v>
      </c>
      <c r="C790" t="s">
        <v>480</v>
      </c>
      <c r="D790" t="s">
        <v>1810</v>
      </c>
      <c r="E790" t="s">
        <v>1020</v>
      </c>
      <c r="F790" t="s">
        <v>1020</v>
      </c>
    </row>
    <row r="791" spans="1:6" x14ac:dyDescent="0.25">
      <c r="A791" t="s">
        <v>474</v>
      </c>
      <c r="B791" t="s">
        <v>479</v>
      </c>
      <c r="C791" t="s">
        <v>480</v>
      </c>
      <c r="D791" t="s">
        <v>1811</v>
      </c>
      <c r="E791" t="s">
        <v>1020</v>
      </c>
      <c r="F791" t="s">
        <v>1020</v>
      </c>
    </row>
    <row r="792" spans="1:6" hidden="1" x14ac:dyDescent="0.25">
      <c r="A792" t="s">
        <v>474</v>
      </c>
      <c r="B792" t="s">
        <v>481</v>
      </c>
      <c r="C792" t="s">
        <v>482</v>
      </c>
      <c r="D792" t="s">
        <v>1812</v>
      </c>
      <c r="E792" t="s">
        <v>989</v>
      </c>
      <c r="F792" t="s">
        <v>988</v>
      </c>
    </row>
    <row r="793" spans="1:6" hidden="1" x14ac:dyDescent="0.25">
      <c r="A793" t="s">
        <v>474</v>
      </c>
      <c r="B793" t="s">
        <v>481</v>
      </c>
      <c r="C793" t="s">
        <v>482</v>
      </c>
      <c r="D793" t="s">
        <v>1813</v>
      </c>
      <c r="E793" t="s">
        <v>989</v>
      </c>
      <c r="F793" t="s">
        <v>988</v>
      </c>
    </row>
    <row r="794" spans="1:6" hidden="1" x14ac:dyDescent="0.25">
      <c r="A794" t="s">
        <v>474</v>
      </c>
      <c r="B794" t="s">
        <v>483</v>
      </c>
      <c r="C794" t="s">
        <v>484</v>
      </c>
      <c r="D794" t="s">
        <v>1814</v>
      </c>
      <c r="E794" t="s">
        <v>989</v>
      </c>
      <c r="F794" t="s">
        <v>988</v>
      </c>
    </row>
    <row r="795" spans="1:6" hidden="1" x14ac:dyDescent="0.25">
      <c r="A795" t="s">
        <v>474</v>
      </c>
      <c r="B795" t="s">
        <v>483</v>
      </c>
      <c r="C795" t="s">
        <v>484</v>
      </c>
      <c r="D795" t="s">
        <v>1815</v>
      </c>
      <c r="E795" t="s">
        <v>989</v>
      </c>
      <c r="F795" t="s">
        <v>988</v>
      </c>
    </row>
    <row r="796" spans="1:6" x14ac:dyDescent="0.25">
      <c r="A796" t="s">
        <v>123</v>
      </c>
      <c r="B796" t="s">
        <v>160</v>
      </c>
      <c r="C796" t="s">
        <v>161</v>
      </c>
      <c r="D796" t="s">
        <v>1816</v>
      </c>
      <c r="E796" t="s">
        <v>1020</v>
      </c>
      <c r="F796" t="s">
        <v>1020</v>
      </c>
    </row>
    <row r="797" spans="1:6" x14ac:dyDescent="0.25">
      <c r="A797" t="s">
        <v>123</v>
      </c>
      <c r="B797" t="s">
        <v>160</v>
      </c>
      <c r="C797" t="s">
        <v>161</v>
      </c>
      <c r="D797" t="s">
        <v>1817</v>
      </c>
      <c r="E797" t="s">
        <v>1020</v>
      </c>
      <c r="F797" t="s">
        <v>1020</v>
      </c>
    </row>
    <row r="798" spans="1:6" hidden="1" x14ac:dyDescent="0.25">
      <c r="A798" t="s">
        <v>123</v>
      </c>
      <c r="B798" t="s">
        <v>124</v>
      </c>
      <c r="C798" t="s">
        <v>125</v>
      </c>
      <c r="D798" t="s">
        <v>1818</v>
      </c>
      <c r="E798" t="s">
        <v>989</v>
      </c>
      <c r="F798" t="s">
        <v>988</v>
      </c>
    </row>
    <row r="799" spans="1:6" hidden="1" x14ac:dyDescent="0.25">
      <c r="A799" t="s">
        <v>123</v>
      </c>
      <c r="B799" t="s">
        <v>124</v>
      </c>
      <c r="C799" t="s">
        <v>125</v>
      </c>
      <c r="D799" t="s">
        <v>1819</v>
      </c>
      <c r="E799" t="s">
        <v>989</v>
      </c>
      <c r="F799" t="s">
        <v>988</v>
      </c>
    </row>
    <row r="800" spans="1:6" x14ac:dyDescent="0.25">
      <c r="A800" t="s">
        <v>123</v>
      </c>
      <c r="B800" t="s">
        <v>126</v>
      </c>
      <c r="C800" t="s">
        <v>127</v>
      </c>
      <c r="D800" t="s">
        <v>1820</v>
      </c>
      <c r="E800" t="s">
        <v>1020</v>
      </c>
      <c r="F800" t="s">
        <v>1020</v>
      </c>
    </row>
    <row r="801" spans="1:6" x14ac:dyDescent="0.25">
      <c r="A801" t="s">
        <v>123</v>
      </c>
      <c r="B801" t="s">
        <v>126</v>
      </c>
      <c r="C801" t="s">
        <v>127</v>
      </c>
      <c r="D801" t="s">
        <v>1821</v>
      </c>
      <c r="E801" t="s">
        <v>1020</v>
      </c>
      <c r="F801" t="s">
        <v>1020</v>
      </c>
    </row>
    <row r="802" spans="1:6" x14ac:dyDescent="0.25">
      <c r="A802" t="s">
        <v>123</v>
      </c>
      <c r="B802" t="s">
        <v>128</v>
      </c>
      <c r="C802" t="s">
        <v>129</v>
      </c>
      <c r="D802" t="s">
        <v>1822</v>
      </c>
      <c r="E802" t="s">
        <v>1020</v>
      </c>
      <c r="F802" t="s">
        <v>1020</v>
      </c>
    </row>
    <row r="803" spans="1:6" x14ac:dyDescent="0.25">
      <c r="A803" t="s">
        <v>123</v>
      </c>
      <c r="B803" t="s">
        <v>128</v>
      </c>
      <c r="C803" t="s">
        <v>129</v>
      </c>
      <c r="D803" t="s">
        <v>1823</v>
      </c>
      <c r="E803" t="s">
        <v>1020</v>
      </c>
      <c r="F803" t="s">
        <v>1020</v>
      </c>
    </row>
    <row r="804" spans="1:6" hidden="1" x14ac:dyDescent="0.25">
      <c r="A804" t="s">
        <v>123</v>
      </c>
      <c r="B804" t="s">
        <v>130</v>
      </c>
      <c r="C804" t="s">
        <v>131</v>
      </c>
      <c r="D804" t="s">
        <v>1824</v>
      </c>
      <c r="E804" t="s">
        <v>989</v>
      </c>
      <c r="F804" t="s">
        <v>988</v>
      </c>
    </row>
    <row r="805" spans="1:6" hidden="1" x14ac:dyDescent="0.25">
      <c r="A805" t="s">
        <v>123</v>
      </c>
      <c r="B805" t="s">
        <v>130</v>
      </c>
      <c r="C805" t="s">
        <v>131</v>
      </c>
      <c r="D805" t="s">
        <v>1825</v>
      </c>
      <c r="E805" t="s">
        <v>989</v>
      </c>
      <c r="F805" t="s">
        <v>988</v>
      </c>
    </row>
    <row r="806" spans="1:6" x14ac:dyDescent="0.25">
      <c r="A806" t="s">
        <v>123</v>
      </c>
      <c r="B806" t="s">
        <v>132</v>
      </c>
      <c r="C806" t="s">
        <v>133</v>
      </c>
      <c r="D806" t="s">
        <v>1826</v>
      </c>
      <c r="E806" t="s">
        <v>1020</v>
      </c>
      <c r="F806" t="s">
        <v>1020</v>
      </c>
    </row>
    <row r="807" spans="1:6" x14ac:dyDescent="0.25">
      <c r="A807" t="s">
        <v>123</v>
      </c>
      <c r="B807" t="s">
        <v>132</v>
      </c>
      <c r="C807" t="s">
        <v>133</v>
      </c>
      <c r="D807" t="s">
        <v>1827</v>
      </c>
      <c r="E807" t="s">
        <v>1020</v>
      </c>
      <c r="F807" t="s">
        <v>1020</v>
      </c>
    </row>
    <row r="808" spans="1:6" hidden="1" x14ac:dyDescent="0.25">
      <c r="A808" t="s">
        <v>123</v>
      </c>
      <c r="B808" t="s">
        <v>134</v>
      </c>
      <c r="C808" t="s">
        <v>135</v>
      </c>
      <c r="D808" t="s">
        <v>1828</v>
      </c>
      <c r="E808" t="s">
        <v>989</v>
      </c>
      <c r="F808" t="s">
        <v>988</v>
      </c>
    </row>
    <row r="809" spans="1:6" hidden="1" x14ac:dyDescent="0.25">
      <c r="A809" t="s">
        <v>123</v>
      </c>
      <c r="B809" t="s">
        <v>134</v>
      </c>
      <c r="C809" t="s">
        <v>135</v>
      </c>
      <c r="D809" t="s">
        <v>1829</v>
      </c>
      <c r="E809" t="s">
        <v>989</v>
      </c>
      <c r="F809" t="s">
        <v>988</v>
      </c>
    </row>
    <row r="810" spans="1:6" hidden="1" x14ac:dyDescent="0.25">
      <c r="A810" t="s">
        <v>123</v>
      </c>
      <c r="B810" t="s">
        <v>136</v>
      </c>
      <c r="C810" t="s">
        <v>137</v>
      </c>
      <c r="D810" t="s">
        <v>1830</v>
      </c>
      <c r="E810" t="s">
        <v>989</v>
      </c>
      <c r="F810" t="s">
        <v>988</v>
      </c>
    </row>
    <row r="811" spans="1:6" hidden="1" x14ac:dyDescent="0.25">
      <c r="A811" t="s">
        <v>123</v>
      </c>
      <c r="B811" t="s">
        <v>136</v>
      </c>
      <c r="C811" t="s">
        <v>137</v>
      </c>
      <c r="D811" t="s">
        <v>1831</v>
      </c>
      <c r="E811" t="s">
        <v>989</v>
      </c>
      <c r="F811" t="s">
        <v>988</v>
      </c>
    </row>
    <row r="812" spans="1:6" hidden="1" x14ac:dyDescent="0.25">
      <c r="A812" t="s">
        <v>123</v>
      </c>
      <c r="B812" t="s">
        <v>138</v>
      </c>
      <c r="C812" t="s">
        <v>139</v>
      </c>
      <c r="D812" t="s">
        <v>1832</v>
      </c>
      <c r="E812" t="s">
        <v>989</v>
      </c>
      <c r="F812" t="s">
        <v>988</v>
      </c>
    </row>
    <row r="813" spans="1:6" hidden="1" x14ac:dyDescent="0.25">
      <c r="A813" t="s">
        <v>123</v>
      </c>
      <c r="B813" t="s">
        <v>138</v>
      </c>
      <c r="C813" t="s">
        <v>139</v>
      </c>
      <c r="D813" t="s">
        <v>1833</v>
      </c>
      <c r="E813" t="s">
        <v>989</v>
      </c>
      <c r="F813" t="s">
        <v>988</v>
      </c>
    </row>
    <row r="814" spans="1:6" hidden="1" x14ac:dyDescent="0.25">
      <c r="A814" t="s">
        <v>123</v>
      </c>
      <c r="B814" t="s">
        <v>140</v>
      </c>
      <c r="C814" t="s">
        <v>141</v>
      </c>
      <c r="D814" t="s">
        <v>1834</v>
      </c>
      <c r="E814" t="s">
        <v>989</v>
      </c>
      <c r="F814" t="s">
        <v>988</v>
      </c>
    </row>
    <row r="815" spans="1:6" hidden="1" x14ac:dyDescent="0.25">
      <c r="A815" t="s">
        <v>123</v>
      </c>
      <c r="B815" t="s">
        <v>140</v>
      </c>
      <c r="C815" t="s">
        <v>141</v>
      </c>
      <c r="D815" t="s">
        <v>1835</v>
      </c>
      <c r="E815" t="s">
        <v>989</v>
      </c>
      <c r="F815" t="s">
        <v>988</v>
      </c>
    </row>
    <row r="816" spans="1:6" hidden="1" x14ac:dyDescent="0.25">
      <c r="A816" t="s">
        <v>123</v>
      </c>
      <c r="B816" t="s">
        <v>142</v>
      </c>
      <c r="C816" t="s">
        <v>143</v>
      </c>
      <c r="D816" t="s">
        <v>1836</v>
      </c>
      <c r="E816" t="s">
        <v>989</v>
      </c>
      <c r="F816" t="s">
        <v>988</v>
      </c>
    </row>
    <row r="817" spans="1:6" hidden="1" x14ac:dyDescent="0.25">
      <c r="A817" t="s">
        <v>123</v>
      </c>
      <c r="B817" t="s">
        <v>142</v>
      </c>
      <c r="C817" t="s">
        <v>143</v>
      </c>
      <c r="D817" t="s">
        <v>1837</v>
      </c>
      <c r="E817" t="s">
        <v>989</v>
      </c>
      <c r="F817" t="s">
        <v>988</v>
      </c>
    </row>
    <row r="818" spans="1:6" x14ac:dyDescent="0.25">
      <c r="A818" t="s">
        <v>123</v>
      </c>
      <c r="B818" t="s">
        <v>144</v>
      </c>
      <c r="C818" t="s">
        <v>145</v>
      </c>
      <c r="D818" t="s">
        <v>1838</v>
      </c>
      <c r="E818" t="s">
        <v>1020</v>
      </c>
      <c r="F818" t="s">
        <v>1020</v>
      </c>
    </row>
    <row r="819" spans="1:6" x14ac:dyDescent="0.25">
      <c r="A819" t="s">
        <v>123</v>
      </c>
      <c r="B819" t="s">
        <v>144</v>
      </c>
      <c r="C819" t="s">
        <v>145</v>
      </c>
      <c r="D819" t="s">
        <v>1839</v>
      </c>
      <c r="E819" t="s">
        <v>1020</v>
      </c>
      <c r="F819" t="s">
        <v>1020</v>
      </c>
    </row>
    <row r="820" spans="1:6" hidden="1" x14ac:dyDescent="0.25">
      <c r="A820" t="s">
        <v>123</v>
      </c>
      <c r="B820" t="s">
        <v>146</v>
      </c>
      <c r="C820" t="s">
        <v>147</v>
      </c>
      <c r="D820" t="s">
        <v>1840</v>
      </c>
      <c r="E820" t="s">
        <v>989</v>
      </c>
      <c r="F820" t="s">
        <v>988</v>
      </c>
    </row>
    <row r="821" spans="1:6" hidden="1" x14ac:dyDescent="0.25">
      <c r="A821" t="s">
        <v>123</v>
      </c>
      <c r="B821" t="s">
        <v>146</v>
      </c>
      <c r="C821" t="s">
        <v>147</v>
      </c>
      <c r="D821" t="s">
        <v>1841</v>
      </c>
      <c r="E821" t="s">
        <v>989</v>
      </c>
      <c r="F821" t="s">
        <v>988</v>
      </c>
    </row>
    <row r="822" spans="1:6" hidden="1" x14ac:dyDescent="0.25">
      <c r="A822" t="s">
        <v>123</v>
      </c>
      <c r="B822" t="s">
        <v>148</v>
      </c>
      <c r="C822" t="s">
        <v>149</v>
      </c>
      <c r="D822" t="s">
        <v>1842</v>
      </c>
      <c r="E822" t="s">
        <v>973</v>
      </c>
      <c r="F822" t="s">
        <v>923</v>
      </c>
    </row>
    <row r="823" spans="1:6" hidden="1" x14ac:dyDescent="0.25">
      <c r="A823" t="s">
        <v>123</v>
      </c>
      <c r="B823" t="s">
        <v>148</v>
      </c>
      <c r="C823" t="s">
        <v>149</v>
      </c>
      <c r="D823" t="s">
        <v>1843</v>
      </c>
      <c r="E823" t="s">
        <v>973</v>
      </c>
      <c r="F823" t="s">
        <v>923</v>
      </c>
    </row>
    <row r="824" spans="1:6" hidden="1" x14ac:dyDescent="0.25">
      <c r="A824" t="s">
        <v>123</v>
      </c>
      <c r="B824" t="s">
        <v>150</v>
      </c>
      <c r="C824" t="s">
        <v>151</v>
      </c>
      <c r="D824" t="s">
        <v>1844</v>
      </c>
      <c r="E824" t="s">
        <v>973</v>
      </c>
      <c r="F824" t="s">
        <v>923</v>
      </c>
    </row>
    <row r="825" spans="1:6" hidden="1" x14ac:dyDescent="0.25">
      <c r="A825" t="s">
        <v>123</v>
      </c>
      <c r="B825" t="s">
        <v>150</v>
      </c>
      <c r="C825" t="s">
        <v>151</v>
      </c>
      <c r="D825" t="s">
        <v>1845</v>
      </c>
      <c r="E825" t="s">
        <v>973</v>
      </c>
      <c r="F825" t="s">
        <v>923</v>
      </c>
    </row>
    <row r="826" spans="1:6" x14ac:dyDescent="0.25">
      <c r="A826" t="s">
        <v>123</v>
      </c>
      <c r="B826" t="s">
        <v>152</v>
      </c>
      <c r="C826" t="s">
        <v>153</v>
      </c>
      <c r="D826" t="s">
        <v>1846</v>
      </c>
      <c r="E826" t="s">
        <v>1020</v>
      </c>
      <c r="F826" t="s">
        <v>1020</v>
      </c>
    </row>
    <row r="827" spans="1:6" x14ac:dyDescent="0.25">
      <c r="A827" t="s">
        <v>123</v>
      </c>
      <c r="B827" t="s">
        <v>152</v>
      </c>
      <c r="C827" t="s">
        <v>153</v>
      </c>
      <c r="D827" t="s">
        <v>1847</v>
      </c>
      <c r="E827" t="s">
        <v>1020</v>
      </c>
      <c r="F827" t="s">
        <v>1020</v>
      </c>
    </row>
    <row r="828" spans="1:6" x14ac:dyDescent="0.25">
      <c r="A828" t="s">
        <v>123</v>
      </c>
      <c r="B828" t="s">
        <v>154</v>
      </c>
      <c r="C828" t="s">
        <v>155</v>
      </c>
      <c r="D828" t="s">
        <v>1848</v>
      </c>
      <c r="E828" t="s">
        <v>1020</v>
      </c>
      <c r="F828" t="s">
        <v>1020</v>
      </c>
    </row>
    <row r="829" spans="1:6" x14ac:dyDescent="0.25">
      <c r="A829" t="s">
        <v>123</v>
      </c>
      <c r="B829" t="s">
        <v>154</v>
      </c>
      <c r="C829" t="s">
        <v>155</v>
      </c>
      <c r="D829" t="s">
        <v>1849</v>
      </c>
      <c r="E829" t="s">
        <v>1020</v>
      </c>
      <c r="F829" t="s">
        <v>1020</v>
      </c>
    </row>
    <row r="830" spans="1:6" x14ac:dyDescent="0.25">
      <c r="A830" t="s">
        <v>123</v>
      </c>
      <c r="B830" t="s">
        <v>156</v>
      </c>
      <c r="C830" t="s">
        <v>157</v>
      </c>
      <c r="D830" t="s">
        <v>1850</v>
      </c>
      <c r="E830" t="s">
        <v>1020</v>
      </c>
      <c r="F830" t="s">
        <v>1020</v>
      </c>
    </row>
    <row r="831" spans="1:6" x14ac:dyDescent="0.25">
      <c r="A831" t="s">
        <v>123</v>
      </c>
      <c r="B831" t="s">
        <v>156</v>
      </c>
      <c r="C831" t="s">
        <v>157</v>
      </c>
      <c r="D831" t="s">
        <v>1851</v>
      </c>
      <c r="E831" t="s">
        <v>1020</v>
      </c>
      <c r="F831" t="s">
        <v>1020</v>
      </c>
    </row>
    <row r="832" spans="1:6" x14ac:dyDescent="0.25">
      <c r="A832" t="s">
        <v>123</v>
      </c>
      <c r="B832" t="s">
        <v>158</v>
      </c>
      <c r="C832" t="s">
        <v>159</v>
      </c>
      <c r="D832" t="s">
        <v>1852</v>
      </c>
      <c r="E832" t="s">
        <v>1020</v>
      </c>
      <c r="F832" t="s">
        <v>1020</v>
      </c>
    </row>
    <row r="833" spans="1:6" x14ac:dyDescent="0.25">
      <c r="A833" t="s">
        <v>123</v>
      </c>
      <c r="B833" t="s">
        <v>158</v>
      </c>
      <c r="C833" t="s">
        <v>159</v>
      </c>
      <c r="D833" t="s">
        <v>1853</v>
      </c>
      <c r="E833" t="s">
        <v>1020</v>
      </c>
      <c r="F833" t="s">
        <v>1020</v>
      </c>
    </row>
    <row r="834" spans="1:6" hidden="1" x14ac:dyDescent="0.25">
      <c r="A834" t="s">
        <v>336</v>
      </c>
      <c r="B834" t="s">
        <v>467</v>
      </c>
      <c r="C834" t="s">
        <v>468</v>
      </c>
      <c r="D834" t="s">
        <v>1854</v>
      </c>
      <c r="E834" t="s">
        <v>953</v>
      </c>
      <c r="F834" t="s">
        <v>923</v>
      </c>
    </row>
    <row r="835" spans="1:6" hidden="1" x14ac:dyDescent="0.25">
      <c r="A835" t="s">
        <v>336</v>
      </c>
      <c r="B835" t="s">
        <v>467</v>
      </c>
      <c r="C835" t="s">
        <v>468</v>
      </c>
      <c r="D835" t="s">
        <v>1855</v>
      </c>
      <c r="E835" t="s">
        <v>953</v>
      </c>
      <c r="F835" t="s">
        <v>923</v>
      </c>
    </row>
    <row r="836" spans="1:6" hidden="1" x14ac:dyDescent="0.25">
      <c r="A836" t="s">
        <v>336</v>
      </c>
      <c r="B836" t="s">
        <v>465</v>
      </c>
      <c r="C836" t="s">
        <v>466</v>
      </c>
      <c r="D836" t="s">
        <v>1856</v>
      </c>
      <c r="E836" t="s">
        <v>959</v>
      </c>
      <c r="F836" t="s">
        <v>923</v>
      </c>
    </row>
    <row r="837" spans="1:6" hidden="1" x14ac:dyDescent="0.25">
      <c r="A837" t="s">
        <v>336</v>
      </c>
      <c r="B837" t="s">
        <v>465</v>
      </c>
      <c r="C837" t="s">
        <v>466</v>
      </c>
      <c r="D837" t="s">
        <v>1857</v>
      </c>
      <c r="E837" t="s">
        <v>959</v>
      </c>
      <c r="F837" t="s">
        <v>923</v>
      </c>
    </row>
    <row r="838" spans="1:6" x14ac:dyDescent="0.25">
      <c r="A838" t="s">
        <v>336</v>
      </c>
      <c r="B838" t="s">
        <v>469</v>
      </c>
      <c r="C838" t="s">
        <v>470</v>
      </c>
      <c r="D838" t="s">
        <v>1858</v>
      </c>
      <c r="E838" t="s">
        <v>1020</v>
      </c>
      <c r="F838" t="s">
        <v>1020</v>
      </c>
    </row>
    <row r="839" spans="1:6" x14ac:dyDescent="0.25">
      <c r="A839" t="s">
        <v>336</v>
      </c>
      <c r="B839" t="s">
        <v>469</v>
      </c>
      <c r="C839" t="s">
        <v>470</v>
      </c>
      <c r="D839" t="s">
        <v>1859</v>
      </c>
      <c r="E839" t="s">
        <v>1020</v>
      </c>
      <c r="F839" t="s">
        <v>1020</v>
      </c>
    </row>
    <row r="840" spans="1:6" hidden="1" x14ac:dyDescent="0.25">
      <c r="A840" t="s">
        <v>623</v>
      </c>
      <c r="B840" t="s">
        <v>622</v>
      </c>
      <c r="C840" t="s">
        <v>623</v>
      </c>
      <c r="D840" t="s">
        <v>1860</v>
      </c>
      <c r="E840" t="str">
        <f>_xlfn.IFNA(INDEX(RETAIL__29[Nhóm KH], MATCH(DS_Khach_hang[[#This Row],[TÀI KHOẢN LƯU KÝ]], RETAIL__29[Số TK lưu ký KH], 0)) &amp; "", "")</f>
        <v>Standard</v>
      </c>
      <c r="F840" t="str">
        <f>_xlfn.IFNA(INDEX(RETAIL__29[Loại TK], MATCH(DS_Khach_hang[[#This Row],[TÀI KHOẢN LƯU KÝ]], RETAIL__29[Số TK lưu ký KH], 0)) &amp; "", "")</f>
        <v>RETAIL</v>
      </c>
    </row>
    <row r="841" spans="1:6" hidden="1" x14ac:dyDescent="0.25">
      <c r="A841" t="s">
        <v>623</v>
      </c>
      <c r="B841" t="s">
        <v>622</v>
      </c>
      <c r="C841" t="s">
        <v>623</v>
      </c>
      <c r="D841" t="s">
        <v>1861</v>
      </c>
      <c r="E841" t="str">
        <f>_xlfn.IFNA(INDEX(RETAIL__29[Nhóm KH], MATCH(DS_Khach_hang[[#This Row],[TÀI KHOẢN LƯU KÝ]], RETAIL__29[Số TK lưu ký KH], 0)) &amp; "", "")</f>
        <v>Standard</v>
      </c>
      <c r="F841" t="str">
        <f>_xlfn.IFNA(INDEX(RETAIL__29[Loại TK], MATCH(DS_Khach_hang[[#This Row],[TÀI KHOẢN LƯU KÝ]], RETAIL__29[Số TK lưu ký KH], 0)) &amp; "", "")</f>
        <v>RETAIL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A08A6-D743-4C69-B487-595C6F3E114B}">
  <dimension ref="A1:I32"/>
  <sheetViews>
    <sheetView workbookViewId="0">
      <selection activeCell="H9" sqref="H9"/>
    </sheetView>
  </sheetViews>
  <sheetFormatPr defaultRowHeight="15" x14ac:dyDescent="0.25"/>
  <cols>
    <col min="1" max="1" width="30.140625" customWidth="1"/>
    <col min="2" max="2" width="21" customWidth="1"/>
    <col min="3" max="3" width="77.140625" customWidth="1"/>
    <col min="4" max="4" width="25.140625" customWidth="1"/>
    <col min="5" max="5" width="19.5703125" bestFit="1" customWidth="1"/>
    <col min="6" max="6" width="27.5703125" bestFit="1" customWidth="1"/>
    <col min="7" max="7" width="13.42578125" bestFit="1" customWidth="1"/>
    <col min="8" max="8" width="24.85546875" customWidth="1"/>
    <col min="9" max="9" width="26" customWidth="1"/>
    <col min="10" max="14" width="13.42578125" bestFit="1" customWidth="1"/>
  </cols>
  <sheetData>
    <row r="1" spans="1:9" x14ac:dyDescent="0.25">
      <c r="A1" t="s">
        <v>551</v>
      </c>
      <c r="B1" t="s">
        <v>552</v>
      </c>
      <c r="C1" t="s">
        <v>553</v>
      </c>
      <c r="D1" t="s">
        <v>607</v>
      </c>
      <c r="E1" t="s">
        <v>608</v>
      </c>
      <c r="F1" t="s">
        <v>609</v>
      </c>
      <c r="G1" t="s">
        <v>610</v>
      </c>
      <c r="H1" t="s">
        <v>612</v>
      </c>
      <c r="I1" t="s">
        <v>613</v>
      </c>
    </row>
    <row r="2" spans="1:9" x14ac:dyDescent="0.25">
      <c r="A2" t="s">
        <v>556</v>
      </c>
      <c r="B2" t="s">
        <v>557</v>
      </c>
      <c r="C2" t="s">
        <v>558</v>
      </c>
      <c r="D2" t="s">
        <v>554</v>
      </c>
      <c r="E2" t="s">
        <v>555</v>
      </c>
      <c r="F2" t="s">
        <v>533</v>
      </c>
      <c r="G2" t="s">
        <v>559</v>
      </c>
    </row>
    <row r="3" spans="1:9" x14ac:dyDescent="0.25">
      <c r="A3" t="s">
        <v>556</v>
      </c>
      <c r="B3" t="s">
        <v>560</v>
      </c>
      <c r="C3" t="s">
        <v>558</v>
      </c>
      <c r="D3" t="s">
        <v>554</v>
      </c>
      <c r="E3" t="s">
        <v>555</v>
      </c>
      <c r="F3" t="s">
        <v>533</v>
      </c>
      <c r="G3" t="s">
        <v>559</v>
      </c>
    </row>
    <row r="4" spans="1:9" x14ac:dyDescent="0.25">
      <c r="A4" t="s">
        <v>561</v>
      </c>
      <c r="B4" t="s">
        <v>3</v>
      </c>
      <c r="C4" t="s">
        <v>4</v>
      </c>
      <c r="D4" t="s">
        <v>554</v>
      </c>
      <c r="E4" t="s">
        <v>555</v>
      </c>
      <c r="F4" t="s">
        <v>504</v>
      </c>
      <c r="G4" t="s">
        <v>562</v>
      </c>
    </row>
    <row r="5" spans="1:9" x14ac:dyDescent="0.25">
      <c r="A5" t="s">
        <v>561</v>
      </c>
      <c r="B5" t="s">
        <v>563</v>
      </c>
      <c r="C5" t="s">
        <v>4</v>
      </c>
      <c r="D5" t="s">
        <v>554</v>
      </c>
      <c r="E5" t="s">
        <v>555</v>
      </c>
      <c r="F5" t="s">
        <v>504</v>
      </c>
      <c r="G5" t="s">
        <v>562</v>
      </c>
    </row>
    <row r="6" spans="1:9" x14ac:dyDescent="0.25">
      <c r="A6" t="s">
        <v>564</v>
      </c>
      <c r="B6" t="s">
        <v>565</v>
      </c>
      <c r="C6" t="s">
        <v>264</v>
      </c>
      <c r="D6" t="s">
        <v>554</v>
      </c>
      <c r="E6" t="s">
        <v>555</v>
      </c>
    </row>
    <row r="7" spans="1:9" x14ac:dyDescent="0.25">
      <c r="A7" t="s">
        <v>564</v>
      </c>
      <c r="B7" t="s">
        <v>566</v>
      </c>
      <c r="C7" t="s">
        <v>264</v>
      </c>
      <c r="D7" t="s">
        <v>554</v>
      </c>
      <c r="E7" t="s">
        <v>555</v>
      </c>
    </row>
    <row r="8" spans="1:9" x14ac:dyDescent="0.25">
      <c r="A8" t="s">
        <v>567</v>
      </c>
      <c r="B8" t="s">
        <v>568</v>
      </c>
      <c r="C8" t="s">
        <v>569</v>
      </c>
      <c r="D8" t="s">
        <v>554</v>
      </c>
      <c r="E8" t="s">
        <v>555</v>
      </c>
      <c r="F8" t="s">
        <v>533</v>
      </c>
      <c r="G8" t="s">
        <v>559</v>
      </c>
    </row>
    <row r="9" spans="1:9" x14ac:dyDescent="0.25">
      <c r="A9" t="s">
        <v>567</v>
      </c>
      <c r="B9" t="s">
        <v>570</v>
      </c>
      <c r="C9" t="s">
        <v>569</v>
      </c>
      <c r="D9" t="s">
        <v>554</v>
      </c>
      <c r="E9" t="s">
        <v>555</v>
      </c>
      <c r="F9" t="s">
        <v>533</v>
      </c>
      <c r="G9" t="s">
        <v>559</v>
      </c>
    </row>
    <row r="10" spans="1:9" x14ac:dyDescent="0.25">
      <c r="A10" t="s">
        <v>571</v>
      </c>
      <c r="B10" t="s">
        <v>572</v>
      </c>
      <c r="C10" t="s">
        <v>266</v>
      </c>
      <c r="D10" t="s">
        <v>554</v>
      </c>
      <c r="E10" t="s">
        <v>555</v>
      </c>
    </row>
    <row r="11" spans="1:9" x14ac:dyDescent="0.25">
      <c r="A11" t="s">
        <v>571</v>
      </c>
      <c r="B11" t="s">
        <v>573</v>
      </c>
      <c r="C11" t="s">
        <v>266</v>
      </c>
      <c r="D11" t="s">
        <v>554</v>
      </c>
      <c r="E11" t="s">
        <v>555</v>
      </c>
    </row>
    <row r="12" spans="1:9" x14ac:dyDescent="0.25">
      <c r="A12" t="s">
        <v>574</v>
      </c>
      <c r="B12" t="s">
        <v>575</v>
      </c>
      <c r="C12" t="s">
        <v>576</v>
      </c>
      <c r="D12" t="s">
        <v>554</v>
      </c>
      <c r="E12" t="s">
        <v>555</v>
      </c>
      <c r="F12" t="s">
        <v>504</v>
      </c>
      <c r="G12" t="s">
        <v>562</v>
      </c>
    </row>
    <row r="13" spans="1:9" x14ac:dyDescent="0.25">
      <c r="A13" t="s">
        <v>574</v>
      </c>
      <c r="B13" t="s">
        <v>577</v>
      </c>
      <c r="C13" t="s">
        <v>576</v>
      </c>
      <c r="D13" t="s">
        <v>554</v>
      </c>
      <c r="E13" t="s">
        <v>555</v>
      </c>
      <c r="F13" t="s">
        <v>504</v>
      </c>
      <c r="G13" t="s">
        <v>562</v>
      </c>
    </row>
    <row r="14" spans="1:9" x14ac:dyDescent="0.25">
      <c r="A14" t="s">
        <v>574</v>
      </c>
      <c r="B14" t="s">
        <v>578</v>
      </c>
      <c r="C14" t="s">
        <v>576</v>
      </c>
      <c r="D14" t="s">
        <v>554</v>
      </c>
      <c r="E14" t="s">
        <v>555</v>
      </c>
      <c r="F14" t="s">
        <v>504</v>
      </c>
      <c r="G14" t="s">
        <v>562</v>
      </c>
    </row>
    <row r="15" spans="1:9" x14ac:dyDescent="0.25">
      <c r="A15" t="s">
        <v>579</v>
      </c>
      <c r="B15" t="s">
        <v>580</v>
      </c>
      <c r="C15" t="s">
        <v>581</v>
      </c>
      <c r="D15" t="s">
        <v>554</v>
      </c>
      <c r="E15" t="s">
        <v>555</v>
      </c>
      <c r="F15" t="s">
        <v>504</v>
      </c>
      <c r="G15" t="s">
        <v>562</v>
      </c>
    </row>
    <row r="16" spans="1:9" x14ac:dyDescent="0.25">
      <c r="A16" t="s">
        <v>579</v>
      </c>
      <c r="B16" t="s">
        <v>582</v>
      </c>
      <c r="C16" t="s">
        <v>581</v>
      </c>
      <c r="D16" t="s">
        <v>554</v>
      </c>
      <c r="E16" t="s">
        <v>555</v>
      </c>
      <c r="F16" t="s">
        <v>504</v>
      </c>
      <c r="G16" t="s">
        <v>562</v>
      </c>
    </row>
    <row r="17" spans="1:7" x14ac:dyDescent="0.25">
      <c r="A17" t="s">
        <v>583</v>
      </c>
      <c r="B17" t="s">
        <v>584</v>
      </c>
      <c r="C17" t="s">
        <v>585</v>
      </c>
      <c r="D17" t="s">
        <v>554</v>
      </c>
      <c r="E17" t="s">
        <v>555</v>
      </c>
      <c r="F17" t="s">
        <v>533</v>
      </c>
      <c r="G17" t="s">
        <v>559</v>
      </c>
    </row>
    <row r="18" spans="1:7" x14ac:dyDescent="0.25">
      <c r="A18" t="s">
        <v>583</v>
      </c>
      <c r="B18" t="s">
        <v>586</v>
      </c>
      <c r="C18" t="s">
        <v>585</v>
      </c>
      <c r="D18" t="s">
        <v>554</v>
      </c>
      <c r="E18" t="s">
        <v>555</v>
      </c>
      <c r="F18" t="s">
        <v>533</v>
      </c>
      <c r="G18" t="s">
        <v>559</v>
      </c>
    </row>
    <row r="19" spans="1:7" x14ac:dyDescent="0.25">
      <c r="A19" t="s">
        <v>587</v>
      </c>
      <c r="B19" t="s">
        <v>588</v>
      </c>
      <c r="C19" t="s">
        <v>489</v>
      </c>
      <c r="D19" t="s">
        <v>554</v>
      </c>
      <c r="E19" t="s">
        <v>555</v>
      </c>
      <c r="F19" t="s">
        <v>533</v>
      </c>
      <c r="G19" t="s">
        <v>559</v>
      </c>
    </row>
    <row r="20" spans="1:7" x14ac:dyDescent="0.25">
      <c r="A20" t="s">
        <v>587</v>
      </c>
      <c r="B20" t="s">
        <v>589</v>
      </c>
      <c r="C20" t="s">
        <v>489</v>
      </c>
      <c r="D20" t="s">
        <v>554</v>
      </c>
      <c r="E20" t="s">
        <v>555</v>
      </c>
      <c r="F20" t="s">
        <v>533</v>
      </c>
      <c r="G20" t="s">
        <v>559</v>
      </c>
    </row>
    <row r="21" spans="1:7" x14ac:dyDescent="0.25">
      <c r="A21" t="s">
        <v>590</v>
      </c>
      <c r="B21" t="s">
        <v>591</v>
      </c>
      <c r="C21" t="s">
        <v>365</v>
      </c>
      <c r="D21" t="s">
        <v>554</v>
      </c>
      <c r="E21" t="s">
        <v>555</v>
      </c>
      <c r="F21" t="s">
        <v>533</v>
      </c>
      <c r="G21" t="s">
        <v>559</v>
      </c>
    </row>
    <row r="22" spans="1:7" ht="15.75" customHeight="1" x14ac:dyDescent="0.25">
      <c r="A22" t="s">
        <v>590</v>
      </c>
      <c r="B22" t="s">
        <v>592</v>
      </c>
      <c r="C22" t="s">
        <v>365</v>
      </c>
      <c r="D22" t="s">
        <v>554</v>
      </c>
      <c r="E22" t="s">
        <v>555</v>
      </c>
      <c r="F22" t="s">
        <v>533</v>
      </c>
      <c r="G22" t="s">
        <v>559</v>
      </c>
    </row>
    <row r="23" spans="1:7" x14ac:dyDescent="0.25">
      <c r="A23" t="s">
        <v>593</v>
      </c>
      <c r="B23" t="s">
        <v>594</v>
      </c>
      <c r="C23" t="s">
        <v>164</v>
      </c>
      <c r="D23" t="s">
        <v>554</v>
      </c>
      <c r="E23" t="s">
        <v>555</v>
      </c>
      <c r="F23" t="s">
        <v>504</v>
      </c>
      <c r="G23" t="s">
        <v>562</v>
      </c>
    </row>
    <row r="24" spans="1:7" x14ac:dyDescent="0.25">
      <c r="A24" t="s">
        <v>593</v>
      </c>
      <c r="B24" t="s">
        <v>595</v>
      </c>
      <c r="C24" t="s">
        <v>164</v>
      </c>
      <c r="D24" t="s">
        <v>554</v>
      </c>
      <c r="E24" t="s">
        <v>555</v>
      </c>
      <c r="F24" t="s">
        <v>504</v>
      </c>
      <c r="G24" t="s">
        <v>562</v>
      </c>
    </row>
    <row r="25" spans="1:7" x14ac:dyDescent="0.25">
      <c r="A25" t="s">
        <v>593</v>
      </c>
      <c r="B25" t="s">
        <v>596</v>
      </c>
      <c r="C25" t="s">
        <v>164</v>
      </c>
      <c r="D25" t="s">
        <v>554</v>
      </c>
      <c r="E25" t="s">
        <v>555</v>
      </c>
      <c r="F25" t="s">
        <v>504</v>
      </c>
      <c r="G25" t="s">
        <v>562</v>
      </c>
    </row>
    <row r="26" spans="1:7" x14ac:dyDescent="0.25">
      <c r="A26" t="s">
        <v>597</v>
      </c>
      <c r="B26" t="s">
        <v>598</v>
      </c>
      <c r="C26" t="s">
        <v>599</v>
      </c>
      <c r="D26" t="s">
        <v>554</v>
      </c>
      <c r="E26" t="s">
        <v>555</v>
      </c>
      <c r="F26" t="s">
        <v>533</v>
      </c>
      <c r="G26" t="s">
        <v>559</v>
      </c>
    </row>
    <row r="27" spans="1:7" x14ac:dyDescent="0.25">
      <c r="A27" t="s">
        <v>597</v>
      </c>
      <c r="B27" t="s">
        <v>600</v>
      </c>
      <c r="C27" t="s">
        <v>599</v>
      </c>
      <c r="D27" t="s">
        <v>554</v>
      </c>
      <c r="E27" t="s">
        <v>555</v>
      </c>
      <c r="F27" t="s">
        <v>533</v>
      </c>
      <c r="G27" t="s">
        <v>559</v>
      </c>
    </row>
    <row r="28" spans="1:7" x14ac:dyDescent="0.25">
      <c r="A28" t="s">
        <v>597</v>
      </c>
      <c r="B28" t="s">
        <v>601</v>
      </c>
      <c r="C28" t="s">
        <v>599</v>
      </c>
      <c r="D28" t="s">
        <v>554</v>
      </c>
      <c r="E28" t="s">
        <v>555</v>
      </c>
      <c r="F28" t="s">
        <v>533</v>
      </c>
      <c r="G28" t="s">
        <v>559</v>
      </c>
    </row>
    <row r="29" spans="1:7" x14ac:dyDescent="0.25">
      <c r="A29" t="s">
        <v>602</v>
      </c>
      <c r="B29" t="s">
        <v>603</v>
      </c>
      <c r="C29" t="s">
        <v>533</v>
      </c>
      <c r="D29" t="s">
        <v>554</v>
      </c>
      <c r="E29" t="s">
        <v>555</v>
      </c>
      <c r="F29" t="s">
        <v>533</v>
      </c>
      <c r="G29" t="s">
        <v>559</v>
      </c>
    </row>
    <row r="30" spans="1:7" x14ac:dyDescent="0.25">
      <c r="A30" t="s">
        <v>602</v>
      </c>
      <c r="B30" t="s">
        <v>604</v>
      </c>
      <c r="C30" t="s">
        <v>533</v>
      </c>
      <c r="D30" t="s">
        <v>554</v>
      </c>
      <c r="E30" t="s">
        <v>555</v>
      </c>
      <c r="F30" t="s">
        <v>533</v>
      </c>
      <c r="G30" t="s">
        <v>559</v>
      </c>
    </row>
    <row r="31" spans="1:7" x14ac:dyDescent="0.25">
      <c r="A31" t="s">
        <v>605</v>
      </c>
      <c r="B31" t="s">
        <v>1</v>
      </c>
      <c r="C31" t="s">
        <v>2</v>
      </c>
      <c r="D31" t="s">
        <v>554</v>
      </c>
      <c r="E31" t="s">
        <v>555</v>
      </c>
      <c r="F31" t="s">
        <v>533</v>
      </c>
      <c r="G31" t="s">
        <v>559</v>
      </c>
    </row>
    <row r="32" spans="1:7" x14ac:dyDescent="0.25">
      <c r="A32" t="s">
        <v>605</v>
      </c>
      <c r="B32" t="s">
        <v>606</v>
      </c>
      <c r="C32" t="s">
        <v>2</v>
      </c>
      <c r="D32" t="s">
        <v>554</v>
      </c>
      <c r="E32" t="s">
        <v>555</v>
      </c>
      <c r="F32" t="s">
        <v>533</v>
      </c>
      <c r="G32" t="s">
        <v>559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5788-DA08-4285-A543-54317621D2C6}">
  <dimension ref="A1:H735"/>
  <sheetViews>
    <sheetView topLeftCell="A681" workbookViewId="0">
      <selection activeCell="E686" sqref="E686"/>
    </sheetView>
  </sheetViews>
  <sheetFormatPr defaultRowHeight="15" x14ac:dyDescent="0.25"/>
  <cols>
    <col min="1" max="1" width="12.5703125" customWidth="1"/>
    <col min="2" max="2" width="77.42578125" bestFit="1" customWidth="1"/>
    <col min="3" max="3" width="17.140625" bestFit="1" customWidth="1"/>
    <col min="4" max="4" width="9.5703125" bestFit="1" customWidth="1"/>
    <col min="5" max="5" width="11.7109375" bestFit="1" customWidth="1"/>
    <col min="6" max="6" width="18.42578125" bestFit="1" customWidth="1"/>
    <col min="7" max="7" width="23.7109375" customWidth="1"/>
    <col min="8" max="8" width="16.42578125" customWidth="1"/>
  </cols>
  <sheetData>
    <row r="1" spans="1:8" x14ac:dyDescent="0.25">
      <c r="A1" t="s">
        <v>614</v>
      </c>
      <c r="B1" t="s">
        <v>918</v>
      </c>
      <c r="C1" t="s">
        <v>919</v>
      </c>
      <c r="D1" t="s">
        <v>993</v>
      </c>
      <c r="E1" t="s">
        <v>994</v>
      </c>
      <c r="F1" t="s">
        <v>921</v>
      </c>
      <c r="G1" t="s">
        <v>1019</v>
      </c>
      <c r="H1" t="s">
        <v>1021</v>
      </c>
    </row>
    <row r="2" spans="1:8" x14ac:dyDescent="0.25">
      <c r="A2">
        <v>1</v>
      </c>
      <c r="B2" t="s">
        <v>712</v>
      </c>
      <c r="C2" t="s">
        <v>711</v>
      </c>
      <c r="D2" t="s">
        <v>988</v>
      </c>
      <c r="E2" t="s">
        <v>989</v>
      </c>
      <c r="F2" t="s">
        <v>990</v>
      </c>
      <c r="G2" t="s">
        <v>713</v>
      </c>
      <c r="H2" t="str">
        <f t="shared" ref="H2:H65" si="0">C2&amp;IF(MOD(ROW(),2)=0,".00",".01")</f>
        <v>029C002305.00</v>
      </c>
    </row>
    <row r="3" spans="1:8" x14ac:dyDescent="0.25">
      <c r="A3">
        <v>1</v>
      </c>
      <c r="B3" t="s">
        <v>712</v>
      </c>
      <c r="C3" t="s">
        <v>711</v>
      </c>
      <c r="D3" t="s">
        <v>988</v>
      </c>
      <c r="E3" t="s">
        <v>989</v>
      </c>
      <c r="F3" t="s">
        <v>990</v>
      </c>
      <c r="G3" t="s">
        <v>713</v>
      </c>
      <c r="H3" t="str">
        <f t="shared" si="0"/>
        <v>029C002305.01</v>
      </c>
    </row>
    <row r="4" spans="1:8" x14ac:dyDescent="0.25">
      <c r="A4">
        <v>2</v>
      </c>
      <c r="B4" t="s">
        <v>9</v>
      </c>
      <c r="C4" t="s">
        <v>8</v>
      </c>
      <c r="D4" t="s">
        <v>988</v>
      </c>
      <c r="E4" t="s">
        <v>989</v>
      </c>
      <c r="F4" t="s">
        <v>990</v>
      </c>
      <c r="H4" t="str">
        <f t="shared" si="0"/>
        <v>029C001821.00</v>
      </c>
    </row>
    <row r="5" spans="1:8" x14ac:dyDescent="0.25">
      <c r="A5">
        <v>2</v>
      </c>
      <c r="B5" t="s">
        <v>9</v>
      </c>
      <c r="C5" t="s">
        <v>8</v>
      </c>
      <c r="D5" t="s">
        <v>988</v>
      </c>
      <c r="E5" t="s">
        <v>989</v>
      </c>
      <c r="F5" t="s">
        <v>990</v>
      </c>
      <c r="H5" t="str">
        <f t="shared" si="0"/>
        <v>029C001821.01</v>
      </c>
    </row>
    <row r="6" spans="1:8" x14ac:dyDescent="0.25">
      <c r="A6">
        <v>3</v>
      </c>
      <c r="B6" t="s">
        <v>201</v>
      </c>
      <c r="C6" t="s">
        <v>200</v>
      </c>
      <c r="D6" t="s">
        <v>988</v>
      </c>
      <c r="E6" t="s">
        <v>989</v>
      </c>
      <c r="F6" t="s">
        <v>990</v>
      </c>
      <c r="G6" t="s">
        <v>162</v>
      </c>
      <c r="H6" t="str">
        <f t="shared" si="0"/>
        <v>029C001961.00</v>
      </c>
    </row>
    <row r="7" spans="1:8" x14ac:dyDescent="0.25">
      <c r="A7">
        <v>3</v>
      </c>
      <c r="B7" t="s">
        <v>201</v>
      </c>
      <c r="C7" t="s">
        <v>200</v>
      </c>
      <c r="D7" t="s">
        <v>988</v>
      </c>
      <c r="E7" t="s">
        <v>989</v>
      </c>
      <c r="F7" t="s">
        <v>990</v>
      </c>
      <c r="G7" t="s">
        <v>162</v>
      </c>
      <c r="H7" t="str">
        <f t="shared" si="0"/>
        <v>029C001961.01</v>
      </c>
    </row>
    <row r="8" spans="1:8" x14ac:dyDescent="0.25">
      <c r="A8">
        <v>4</v>
      </c>
      <c r="B8" t="s">
        <v>889</v>
      </c>
      <c r="C8" t="s">
        <v>888</v>
      </c>
      <c r="D8" t="s">
        <v>988</v>
      </c>
      <c r="E8" t="s">
        <v>989</v>
      </c>
      <c r="F8" t="s">
        <v>990</v>
      </c>
      <c r="G8" t="s">
        <v>487</v>
      </c>
      <c r="H8" t="str">
        <f t="shared" si="0"/>
        <v>029C270305.00</v>
      </c>
    </row>
    <row r="9" spans="1:8" x14ac:dyDescent="0.25">
      <c r="A9">
        <v>4</v>
      </c>
      <c r="B9" t="s">
        <v>889</v>
      </c>
      <c r="C9" t="s">
        <v>888</v>
      </c>
      <c r="D9" t="s">
        <v>988</v>
      </c>
      <c r="E9" t="s">
        <v>989</v>
      </c>
      <c r="F9" t="s">
        <v>990</v>
      </c>
      <c r="G9" t="s">
        <v>487</v>
      </c>
      <c r="H9" t="str">
        <f t="shared" si="0"/>
        <v>029C270305.01</v>
      </c>
    </row>
    <row r="10" spans="1:8" x14ac:dyDescent="0.25">
      <c r="A10">
        <v>5</v>
      </c>
      <c r="B10" t="s">
        <v>7</v>
      </c>
      <c r="C10" t="s">
        <v>6</v>
      </c>
      <c r="D10" t="s">
        <v>988</v>
      </c>
      <c r="E10" t="s">
        <v>989</v>
      </c>
      <c r="F10" t="s">
        <v>990</v>
      </c>
      <c r="H10" t="str">
        <f t="shared" si="0"/>
        <v>029C030987.00</v>
      </c>
    </row>
    <row r="11" spans="1:8" x14ac:dyDescent="0.25">
      <c r="A11">
        <v>5</v>
      </c>
      <c r="B11" t="s">
        <v>7</v>
      </c>
      <c r="C11" t="s">
        <v>6</v>
      </c>
      <c r="D11" t="s">
        <v>988</v>
      </c>
      <c r="E11" t="s">
        <v>989</v>
      </c>
      <c r="F11" t="s">
        <v>990</v>
      </c>
      <c r="H11" t="str">
        <f t="shared" si="0"/>
        <v>029C030987.01</v>
      </c>
    </row>
    <row r="12" spans="1:8" x14ac:dyDescent="0.25">
      <c r="A12">
        <v>6</v>
      </c>
      <c r="B12" t="s">
        <v>226</v>
      </c>
      <c r="C12" t="s">
        <v>225</v>
      </c>
      <c r="D12" t="s">
        <v>988</v>
      </c>
      <c r="E12" t="s">
        <v>989</v>
      </c>
      <c r="F12" t="s">
        <v>990</v>
      </c>
      <c r="G12" t="s">
        <v>224</v>
      </c>
      <c r="H12" t="str">
        <f t="shared" si="0"/>
        <v>029C001856.00</v>
      </c>
    </row>
    <row r="13" spans="1:8" x14ac:dyDescent="0.25">
      <c r="A13">
        <v>6</v>
      </c>
      <c r="B13" t="s">
        <v>226</v>
      </c>
      <c r="C13" t="s">
        <v>225</v>
      </c>
      <c r="D13" t="s">
        <v>988</v>
      </c>
      <c r="E13" t="s">
        <v>989</v>
      </c>
      <c r="F13" t="s">
        <v>990</v>
      </c>
      <c r="G13" t="s">
        <v>224</v>
      </c>
      <c r="H13" t="str">
        <f t="shared" si="0"/>
        <v>029C001856.01</v>
      </c>
    </row>
    <row r="14" spans="1:8" x14ac:dyDescent="0.25">
      <c r="A14">
        <v>7</v>
      </c>
      <c r="B14" t="s">
        <v>195</v>
      </c>
      <c r="C14" t="s">
        <v>194</v>
      </c>
      <c r="D14" t="s">
        <v>988</v>
      </c>
      <c r="E14" t="s">
        <v>989</v>
      </c>
      <c r="F14" t="s">
        <v>990</v>
      </c>
      <c r="G14" t="s">
        <v>162</v>
      </c>
      <c r="H14" t="str">
        <f t="shared" si="0"/>
        <v>029C001947.00</v>
      </c>
    </row>
    <row r="15" spans="1:8" x14ac:dyDescent="0.25">
      <c r="A15">
        <v>7</v>
      </c>
      <c r="B15" t="s">
        <v>195</v>
      </c>
      <c r="C15" t="s">
        <v>194</v>
      </c>
      <c r="D15" t="s">
        <v>988</v>
      </c>
      <c r="E15" t="s">
        <v>989</v>
      </c>
      <c r="F15" t="s">
        <v>990</v>
      </c>
      <c r="G15" t="s">
        <v>162</v>
      </c>
      <c r="H15" t="str">
        <f t="shared" si="0"/>
        <v>029C001947.01</v>
      </c>
    </row>
    <row r="16" spans="1:8" x14ac:dyDescent="0.25">
      <c r="A16">
        <v>8</v>
      </c>
      <c r="B16" t="s">
        <v>887</v>
      </c>
      <c r="C16" t="s">
        <v>886</v>
      </c>
      <c r="D16" t="s">
        <v>988</v>
      </c>
      <c r="E16" t="s">
        <v>989</v>
      </c>
      <c r="F16" t="s">
        <v>990</v>
      </c>
      <c r="G16" t="s">
        <v>621</v>
      </c>
      <c r="H16" t="str">
        <f t="shared" si="0"/>
        <v>029C270104.00</v>
      </c>
    </row>
    <row r="17" spans="1:8" x14ac:dyDescent="0.25">
      <c r="A17">
        <v>8</v>
      </c>
      <c r="B17" t="s">
        <v>887</v>
      </c>
      <c r="C17" t="s">
        <v>886</v>
      </c>
      <c r="D17" t="s">
        <v>988</v>
      </c>
      <c r="E17" t="s">
        <v>989</v>
      </c>
      <c r="F17" t="s">
        <v>990</v>
      </c>
      <c r="G17" t="s">
        <v>621</v>
      </c>
      <c r="H17" t="str">
        <f t="shared" si="0"/>
        <v>029C270104.01</v>
      </c>
    </row>
    <row r="18" spans="1:8" x14ac:dyDescent="0.25">
      <c r="A18">
        <v>9</v>
      </c>
      <c r="B18" t="s">
        <v>677</v>
      </c>
      <c r="C18" t="s">
        <v>676</v>
      </c>
      <c r="D18" t="s">
        <v>988</v>
      </c>
      <c r="E18" t="s">
        <v>989</v>
      </c>
      <c r="F18" t="s">
        <v>990</v>
      </c>
      <c r="G18" t="s">
        <v>621</v>
      </c>
      <c r="H18" t="str">
        <f t="shared" si="0"/>
        <v>029C001945.00</v>
      </c>
    </row>
    <row r="19" spans="1:8" x14ac:dyDescent="0.25">
      <c r="A19">
        <v>9</v>
      </c>
      <c r="B19" t="s">
        <v>677</v>
      </c>
      <c r="C19" t="s">
        <v>676</v>
      </c>
      <c r="D19" t="s">
        <v>988</v>
      </c>
      <c r="E19" t="s">
        <v>989</v>
      </c>
      <c r="F19" t="s">
        <v>990</v>
      </c>
      <c r="G19" t="s">
        <v>621</v>
      </c>
      <c r="H19" t="str">
        <f t="shared" si="0"/>
        <v>029C001945.01</v>
      </c>
    </row>
    <row r="20" spans="1:8" x14ac:dyDescent="0.25">
      <c r="A20">
        <v>10</v>
      </c>
      <c r="B20" t="s">
        <v>13</v>
      </c>
      <c r="C20" t="s">
        <v>12</v>
      </c>
      <c r="D20" t="s">
        <v>988</v>
      </c>
      <c r="E20" t="s">
        <v>989</v>
      </c>
      <c r="F20" t="s">
        <v>990</v>
      </c>
      <c r="H20" t="str">
        <f t="shared" si="0"/>
        <v>029C111059.00</v>
      </c>
    </row>
    <row r="21" spans="1:8" x14ac:dyDescent="0.25">
      <c r="A21">
        <v>10</v>
      </c>
      <c r="B21" t="s">
        <v>13</v>
      </c>
      <c r="C21" t="s">
        <v>12</v>
      </c>
      <c r="D21" t="s">
        <v>988</v>
      </c>
      <c r="E21" t="s">
        <v>989</v>
      </c>
      <c r="F21" t="s">
        <v>990</v>
      </c>
      <c r="H21" t="str">
        <f t="shared" si="0"/>
        <v>029C111059.01</v>
      </c>
    </row>
    <row r="22" spans="1:8" x14ac:dyDescent="0.25">
      <c r="A22">
        <v>11</v>
      </c>
      <c r="B22" t="s">
        <v>5</v>
      </c>
      <c r="C22" t="s">
        <v>14</v>
      </c>
      <c r="D22" t="s">
        <v>988</v>
      </c>
      <c r="E22" t="s">
        <v>989</v>
      </c>
      <c r="F22" t="s">
        <v>990</v>
      </c>
      <c r="H22" t="str">
        <f t="shared" si="0"/>
        <v>029C000539.00</v>
      </c>
    </row>
    <row r="23" spans="1:8" x14ac:dyDescent="0.25">
      <c r="A23">
        <v>11</v>
      </c>
      <c r="B23" t="s">
        <v>5</v>
      </c>
      <c r="C23" t="s">
        <v>14</v>
      </c>
      <c r="D23" t="s">
        <v>988</v>
      </c>
      <c r="E23" t="s">
        <v>989</v>
      </c>
      <c r="F23" t="s">
        <v>990</v>
      </c>
      <c r="H23" t="str">
        <f t="shared" si="0"/>
        <v>029C000539.01</v>
      </c>
    </row>
    <row r="24" spans="1:8" x14ac:dyDescent="0.25">
      <c r="A24">
        <v>12</v>
      </c>
      <c r="B24" t="s">
        <v>68</v>
      </c>
      <c r="C24" t="s">
        <v>67</v>
      </c>
      <c r="D24" t="s">
        <v>988</v>
      </c>
      <c r="E24" t="s">
        <v>989</v>
      </c>
      <c r="F24" t="s">
        <v>990</v>
      </c>
      <c r="H24" t="str">
        <f t="shared" si="0"/>
        <v>029C000453.00</v>
      </c>
    </row>
    <row r="25" spans="1:8" x14ac:dyDescent="0.25">
      <c r="A25">
        <v>12</v>
      </c>
      <c r="B25" t="s">
        <v>68</v>
      </c>
      <c r="C25" t="s">
        <v>67</v>
      </c>
      <c r="D25" t="s">
        <v>988</v>
      </c>
      <c r="E25" t="s">
        <v>989</v>
      </c>
      <c r="F25" t="s">
        <v>990</v>
      </c>
      <c r="H25" t="str">
        <f t="shared" si="0"/>
        <v>029C000453.01</v>
      </c>
    </row>
    <row r="26" spans="1:8" x14ac:dyDescent="0.25">
      <c r="A26">
        <v>13</v>
      </c>
      <c r="B26" t="s">
        <v>719</v>
      </c>
      <c r="C26" t="s">
        <v>718</v>
      </c>
      <c r="D26" t="s">
        <v>988</v>
      </c>
      <c r="E26" t="s">
        <v>989</v>
      </c>
      <c r="F26" t="s">
        <v>990</v>
      </c>
      <c r="G26" t="s">
        <v>713</v>
      </c>
      <c r="H26" t="str">
        <f t="shared" si="0"/>
        <v>029C002318.00</v>
      </c>
    </row>
    <row r="27" spans="1:8" x14ac:dyDescent="0.25">
      <c r="A27">
        <v>13</v>
      </c>
      <c r="B27" t="s">
        <v>719</v>
      </c>
      <c r="C27" t="s">
        <v>718</v>
      </c>
      <c r="D27" t="s">
        <v>988</v>
      </c>
      <c r="E27" t="s">
        <v>989</v>
      </c>
      <c r="F27" t="s">
        <v>990</v>
      </c>
      <c r="G27" t="s">
        <v>713</v>
      </c>
      <c r="H27" t="str">
        <f t="shared" si="0"/>
        <v>029C002318.01</v>
      </c>
    </row>
    <row r="28" spans="1:8" x14ac:dyDescent="0.25">
      <c r="A28">
        <v>14</v>
      </c>
      <c r="B28" t="s">
        <v>585</v>
      </c>
      <c r="C28" t="s">
        <v>10</v>
      </c>
      <c r="D28" t="s">
        <v>988</v>
      </c>
      <c r="E28" t="s">
        <v>989</v>
      </c>
      <c r="F28" t="s">
        <v>990</v>
      </c>
      <c r="H28" t="str">
        <f t="shared" si="0"/>
        <v>029C104670.00</v>
      </c>
    </row>
    <row r="29" spans="1:8" x14ac:dyDescent="0.25">
      <c r="A29">
        <v>14</v>
      </c>
      <c r="B29" t="s">
        <v>585</v>
      </c>
      <c r="C29" t="s">
        <v>10</v>
      </c>
      <c r="D29" t="s">
        <v>988</v>
      </c>
      <c r="E29" t="s">
        <v>989</v>
      </c>
      <c r="F29" t="s">
        <v>990</v>
      </c>
      <c r="H29" t="str">
        <f t="shared" si="0"/>
        <v>029C104670.01</v>
      </c>
    </row>
    <row r="30" spans="1:8" x14ac:dyDescent="0.25">
      <c r="A30">
        <v>15</v>
      </c>
      <c r="B30" t="s">
        <v>753</v>
      </c>
      <c r="C30" t="s">
        <v>752</v>
      </c>
      <c r="D30" t="s">
        <v>988</v>
      </c>
      <c r="E30" t="s">
        <v>989</v>
      </c>
      <c r="F30" t="s">
        <v>990</v>
      </c>
      <c r="G30" t="s">
        <v>224</v>
      </c>
      <c r="H30" t="str">
        <f t="shared" si="0"/>
        <v>029C002354.00</v>
      </c>
    </row>
    <row r="31" spans="1:8" x14ac:dyDescent="0.25">
      <c r="A31">
        <v>15</v>
      </c>
      <c r="B31" t="s">
        <v>753</v>
      </c>
      <c r="C31" t="s">
        <v>752</v>
      </c>
      <c r="D31" t="s">
        <v>988</v>
      </c>
      <c r="E31" t="s">
        <v>989</v>
      </c>
      <c r="F31" t="s">
        <v>990</v>
      </c>
      <c r="G31" t="s">
        <v>224</v>
      </c>
      <c r="H31" t="str">
        <f t="shared" si="0"/>
        <v>029C002354.01</v>
      </c>
    </row>
    <row r="32" spans="1:8" x14ac:dyDescent="0.25">
      <c r="A32">
        <v>16</v>
      </c>
      <c r="B32" t="s">
        <v>657</v>
      </c>
      <c r="C32" t="s">
        <v>656</v>
      </c>
      <c r="D32" t="s">
        <v>988</v>
      </c>
      <c r="E32" t="s">
        <v>989</v>
      </c>
      <c r="F32" t="s">
        <v>990</v>
      </c>
      <c r="G32" t="s">
        <v>621</v>
      </c>
      <c r="H32" t="str">
        <f t="shared" si="0"/>
        <v>029C001876.00</v>
      </c>
    </row>
    <row r="33" spans="1:8" x14ac:dyDescent="0.25">
      <c r="A33">
        <v>16</v>
      </c>
      <c r="B33" t="s">
        <v>657</v>
      </c>
      <c r="C33" t="s">
        <v>656</v>
      </c>
      <c r="D33" t="s">
        <v>988</v>
      </c>
      <c r="E33" t="s">
        <v>989</v>
      </c>
      <c r="F33" t="s">
        <v>990</v>
      </c>
      <c r="G33" t="s">
        <v>621</v>
      </c>
      <c r="H33" t="str">
        <f t="shared" si="0"/>
        <v>029C001876.01</v>
      </c>
    </row>
    <row r="34" spans="1:8" x14ac:dyDescent="0.25">
      <c r="A34">
        <v>17</v>
      </c>
      <c r="B34" t="s">
        <v>135</v>
      </c>
      <c r="C34" t="s">
        <v>134</v>
      </c>
      <c r="D34" t="s">
        <v>988</v>
      </c>
      <c r="E34" t="s">
        <v>989</v>
      </c>
      <c r="F34" t="s">
        <v>990</v>
      </c>
      <c r="G34" t="s">
        <v>619</v>
      </c>
      <c r="H34" t="str">
        <f t="shared" si="0"/>
        <v>029C000954.00</v>
      </c>
    </row>
    <row r="35" spans="1:8" x14ac:dyDescent="0.25">
      <c r="A35">
        <v>17</v>
      </c>
      <c r="B35" t="s">
        <v>135</v>
      </c>
      <c r="C35" t="s">
        <v>134</v>
      </c>
      <c r="D35" t="s">
        <v>988</v>
      </c>
      <c r="E35" t="s">
        <v>989</v>
      </c>
      <c r="F35" t="s">
        <v>990</v>
      </c>
      <c r="G35" t="s">
        <v>619</v>
      </c>
      <c r="H35" t="str">
        <f t="shared" si="0"/>
        <v>029C000954.01</v>
      </c>
    </row>
    <row r="36" spans="1:8" x14ac:dyDescent="0.25">
      <c r="A36">
        <v>18</v>
      </c>
      <c r="B36" t="s">
        <v>361</v>
      </c>
      <c r="C36" t="s">
        <v>360</v>
      </c>
      <c r="D36" t="s">
        <v>988</v>
      </c>
      <c r="E36" t="s">
        <v>989</v>
      </c>
      <c r="F36" t="s">
        <v>990</v>
      </c>
      <c r="G36" t="s">
        <v>224</v>
      </c>
      <c r="H36" t="str">
        <f t="shared" si="0"/>
        <v>029C260202.00</v>
      </c>
    </row>
    <row r="37" spans="1:8" x14ac:dyDescent="0.25">
      <c r="A37">
        <v>18</v>
      </c>
      <c r="B37" t="s">
        <v>361</v>
      </c>
      <c r="C37" t="s">
        <v>360</v>
      </c>
      <c r="D37" t="s">
        <v>988</v>
      </c>
      <c r="E37" t="s">
        <v>989</v>
      </c>
      <c r="F37" t="s">
        <v>990</v>
      </c>
      <c r="G37" t="s">
        <v>224</v>
      </c>
      <c r="H37" t="str">
        <f t="shared" si="0"/>
        <v>029C260202.01</v>
      </c>
    </row>
    <row r="38" spans="1:8" x14ac:dyDescent="0.25">
      <c r="A38">
        <v>19</v>
      </c>
      <c r="B38" t="s">
        <v>876</v>
      </c>
      <c r="C38" t="s">
        <v>875</v>
      </c>
      <c r="D38" t="s">
        <v>988</v>
      </c>
      <c r="E38" t="s">
        <v>989</v>
      </c>
      <c r="F38" t="s">
        <v>990</v>
      </c>
      <c r="G38" t="s">
        <v>621</v>
      </c>
      <c r="H38" t="str">
        <f t="shared" si="0"/>
        <v>029C221977.00</v>
      </c>
    </row>
    <row r="39" spans="1:8" x14ac:dyDescent="0.25">
      <c r="A39">
        <v>19</v>
      </c>
      <c r="B39" t="s">
        <v>876</v>
      </c>
      <c r="C39" t="s">
        <v>875</v>
      </c>
      <c r="D39" t="s">
        <v>988</v>
      </c>
      <c r="E39" t="s">
        <v>989</v>
      </c>
      <c r="F39" t="s">
        <v>990</v>
      </c>
      <c r="G39" t="s">
        <v>621</v>
      </c>
      <c r="H39" t="str">
        <f t="shared" si="0"/>
        <v>029C221977.01</v>
      </c>
    </row>
    <row r="40" spans="1:8" x14ac:dyDescent="0.25">
      <c r="A40">
        <v>20</v>
      </c>
      <c r="B40" t="s">
        <v>880</v>
      </c>
      <c r="C40" t="s">
        <v>879</v>
      </c>
      <c r="D40" t="s">
        <v>988</v>
      </c>
      <c r="E40" t="s">
        <v>989</v>
      </c>
      <c r="F40" t="s">
        <v>990</v>
      </c>
      <c r="G40" t="s">
        <v>621</v>
      </c>
      <c r="H40" t="str">
        <f t="shared" si="0"/>
        <v>029C231963.00</v>
      </c>
    </row>
    <row r="41" spans="1:8" x14ac:dyDescent="0.25">
      <c r="A41">
        <v>20</v>
      </c>
      <c r="B41" t="s">
        <v>880</v>
      </c>
      <c r="C41" t="s">
        <v>879</v>
      </c>
      <c r="D41" t="s">
        <v>988</v>
      </c>
      <c r="E41" t="s">
        <v>989</v>
      </c>
      <c r="F41" t="s">
        <v>990</v>
      </c>
      <c r="G41" t="s">
        <v>621</v>
      </c>
      <c r="H41" t="str">
        <f t="shared" si="0"/>
        <v>029C231963.01</v>
      </c>
    </row>
    <row r="42" spans="1:8" x14ac:dyDescent="0.25">
      <c r="A42">
        <v>21</v>
      </c>
      <c r="B42" t="s">
        <v>83</v>
      </c>
      <c r="C42" t="s">
        <v>84</v>
      </c>
      <c r="D42" t="s">
        <v>988</v>
      </c>
      <c r="E42" t="s">
        <v>989</v>
      </c>
      <c r="F42" t="s">
        <v>990</v>
      </c>
      <c r="G42" t="s">
        <v>83</v>
      </c>
      <c r="H42" t="str">
        <f t="shared" si="0"/>
        <v>029C000450.00</v>
      </c>
    </row>
    <row r="43" spans="1:8" x14ac:dyDescent="0.25">
      <c r="A43">
        <v>21</v>
      </c>
      <c r="B43" t="s">
        <v>83</v>
      </c>
      <c r="C43" t="s">
        <v>84</v>
      </c>
      <c r="D43" t="s">
        <v>988</v>
      </c>
      <c r="E43" t="s">
        <v>989</v>
      </c>
      <c r="F43" t="s">
        <v>990</v>
      </c>
      <c r="G43" t="s">
        <v>83</v>
      </c>
      <c r="H43" t="str">
        <f t="shared" si="0"/>
        <v>029C000450.01</v>
      </c>
    </row>
    <row r="44" spans="1:8" x14ac:dyDescent="0.25">
      <c r="A44">
        <v>22</v>
      </c>
      <c r="B44" t="s">
        <v>147</v>
      </c>
      <c r="C44" t="s">
        <v>146</v>
      </c>
      <c r="D44" t="s">
        <v>988</v>
      </c>
      <c r="E44" t="s">
        <v>989</v>
      </c>
      <c r="F44" t="s">
        <v>990</v>
      </c>
      <c r="G44" t="s">
        <v>619</v>
      </c>
      <c r="H44" t="str">
        <f t="shared" si="0"/>
        <v>029C000965.00</v>
      </c>
    </row>
    <row r="45" spans="1:8" x14ac:dyDescent="0.25">
      <c r="A45">
        <v>22</v>
      </c>
      <c r="B45" t="s">
        <v>147</v>
      </c>
      <c r="C45" t="s">
        <v>146</v>
      </c>
      <c r="D45" t="s">
        <v>988</v>
      </c>
      <c r="E45" t="s">
        <v>989</v>
      </c>
      <c r="F45" t="s">
        <v>990</v>
      </c>
      <c r="G45" t="s">
        <v>619</v>
      </c>
      <c r="H45" t="str">
        <f t="shared" si="0"/>
        <v>029C000965.01</v>
      </c>
    </row>
    <row r="46" spans="1:8" x14ac:dyDescent="0.25">
      <c r="A46">
        <v>23</v>
      </c>
      <c r="B46" t="s">
        <v>702</v>
      </c>
      <c r="C46" t="s">
        <v>701</v>
      </c>
      <c r="D46" t="s">
        <v>988</v>
      </c>
      <c r="E46" t="s">
        <v>989</v>
      </c>
      <c r="F46" t="s">
        <v>990</v>
      </c>
      <c r="G46" t="s">
        <v>621</v>
      </c>
      <c r="H46" t="str">
        <f t="shared" si="0"/>
        <v>029C002262.00</v>
      </c>
    </row>
    <row r="47" spans="1:8" x14ac:dyDescent="0.25">
      <c r="A47">
        <v>23</v>
      </c>
      <c r="B47" t="s">
        <v>702</v>
      </c>
      <c r="C47" t="s">
        <v>701</v>
      </c>
      <c r="D47" t="s">
        <v>988</v>
      </c>
      <c r="E47" t="s">
        <v>989</v>
      </c>
      <c r="F47" t="s">
        <v>990</v>
      </c>
      <c r="G47" t="s">
        <v>621</v>
      </c>
      <c r="H47" t="str">
        <f t="shared" si="0"/>
        <v>029C002262.01</v>
      </c>
    </row>
    <row r="48" spans="1:8" x14ac:dyDescent="0.25">
      <c r="A48">
        <v>24</v>
      </c>
      <c r="B48" t="s">
        <v>661</v>
      </c>
      <c r="C48" t="s">
        <v>660</v>
      </c>
      <c r="D48" t="s">
        <v>988</v>
      </c>
      <c r="E48" t="s">
        <v>989</v>
      </c>
      <c r="F48" t="s">
        <v>990</v>
      </c>
      <c r="G48" t="s">
        <v>621</v>
      </c>
      <c r="H48" t="str">
        <f t="shared" si="0"/>
        <v>029C001880.00</v>
      </c>
    </row>
    <row r="49" spans="1:8" x14ac:dyDescent="0.25">
      <c r="A49">
        <v>24</v>
      </c>
      <c r="B49" t="s">
        <v>661</v>
      </c>
      <c r="C49" t="s">
        <v>660</v>
      </c>
      <c r="D49" t="s">
        <v>988</v>
      </c>
      <c r="E49" t="s">
        <v>989</v>
      </c>
      <c r="F49" t="s">
        <v>990</v>
      </c>
      <c r="G49" t="s">
        <v>621</v>
      </c>
      <c r="H49" t="str">
        <f t="shared" si="0"/>
        <v>029C001880.01</v>
      </c>
    </row>
    <row r="50" spans="1:8" x14ac:dyDescent="0.25">
      <c r="A50">
        <v>25</v>
      </c>
      <c r="B50" t="s">
        <v>665</v>
      </c>
      <c r="C50" t="s">
        <v>664</v>
      </c>
      <c r="D50" t="s">
        <v>988</v>
      </c>
      <c r="E50" t="s">
        <v>989</v>
      </c>
      <c r="F50" t="s">
        <v>990</v>
      </c>
      <c r="G50" t="s">
        <v>621</v>
      </c>
      <c r="H50" t="str">
        <f t="shared" si="0"/>
        <v>029C001884.00</v>
      </c>
    </row>
    <row r="51" spans="1:8" x14ac:dyDescent="0.25">
      <c r="A51">
        <v>25</v>
      </c>
      <c r="B51" t="s">
        <v>665</v>
      </c>
      <c r="C51" t="s">
        <v>664</v>
      </c>
      <c r="D51" t="s">
        <v>988</v>
      </c>
      <c r="E51" t="s">
        <v>989</v>
      </c>
      <c r="F51" t="s">
        <v>990</v>
      </c>
      <c r="G51" t="s">
        <v>621</v>
      </c>
      <c r="H51" t="str">
        <f t="shared" si="0"/>
        <v>029C001884.01</v>
      </c>
    </row>
    <row r="52" spans="1:8" x14ac:dyDescent="0.25">
      <c r="A52">
        <v>26</v>
      </c>
      <c r="B52" t="s">
        <v>625</v>
      </c>
      <c r="C52" t="s">
        <v>624</v>
      </c>
      <c r="D52" t="s">
        <v>988</v>
      </c>
      <c r="E52" t="s">
        <v>989</v>
      </c>
      <c r="F52" t="s">
        <v>990</v>
      </c>
      <c r="G52" t="s">
        <v>384</v>
      </c>
      <c r="H52" t="str">
        <f t="shared" si="0"/>
        <v>029C001541.00</v>
      </c>
    </row>
    <row r="53" spans="1:8" x14ac:dyDescent="0.25">
      <c r="A53">
        <v>26</v>
      </c>
      <c r="B53" t="s">
        <v>625</v>
      </c>
      <c r="C53" t="s">
        <v>624</v>
      </c>
      <c r="D53" t="s">
        <v>988</v>
      </c>
      <c r="E53" t="s">
        <v>989</v>
      </c>
      <c r="F53" t="s">
        <v>990</v>
      </c>
      <c r="G53" t="s">
        <v>384</v>
      </c>
      <c r="H53" t="str">
        <f t="shared" si="0"/>
        <v>029C001541.01</v>
      </c>
    </row>
    <row r="54" spans="1:8" x14ac:dyDescent="0.25">
      <c r="A54">
        <v>27</v>
      </c>
      <c r="B54" t="s">
        <v>92</v>
      </c>
      <c r="C54" t="s">
        <v>91</v>
      </c>
      <c r="D54" t="s">
        <v>988</v>
      </c>
      <c r="E54" t="s">
        <v>989</v>
      </c>
      <c r="F54" t="s">
        <v>990</v>
      </c>
      <c r="G54" t="s">
        <v>83</v>
      </c>
      <c r="H54" t="str">
        <f t="shared" si="0"/>
        <v>029C024609.00</v>
      </c>
    </row>
    <row r="55" spans="1:8" x14ac:dyDescent="0.25">
      <c r="A55">
        <v>27</v>
      </c>
      <c r="B55" t="s">
        <v>92</v>
      </c>
      <c r="C55" t="s">
        <v>91</v>
      </c>
      <c r="D55" t="s">
        <v>988</v>
      </c>
      <c r="E55" t="s">
        <v>989</v>
      </c>
      <c r="F55" t="s">
        <v>990</v>
      </c>
      <c r="G55" t="s">
        <v>83</v>
      </c>
      <c r="H55" t="str">
        <f t="shared" si="0"/>
        <v>029C024609.01</v>
      </c>
    </row>
    <row r="56" spans="1:8" x14ac:dyDescent="0.25">
      <c r="A56">
        <v>28</v>
      </c>
      <c r="B56" t="s">
        <v>751</v>
      </c>
      <c r="C56" t="s">
        <v>750</v>
      </c>
      <c r="D56" t="s">
        <v>988</v>
      </c>
      <c r="E56" t="s">
        <v>989</v>
      </c>
      <c r="F56" t="s">
        <v>990</v>
      </c>
      <c r="G56" t="s">
        <v>621</v>
      </c>
      <c r="H56" t="str">
        <f t="shared" si="0"/>
        <v>029C002346.00</v>
      </c>
    </row>
    <row r="57" spans="1:8" x14ac:dyDescent="0.25">
      <c r="A57">
        <v>28</v>
      </c>
      <c r="B57" t="s">
        <v>751</v>
      </c>
      <c r="C57" t="s">
        <v>750</v>
      </c>
      <c r="D57" t="s">
        <v>988</v>
      </c>
      <c r="E57" t="s">
        <v>989</v>
      </c>
      <c r="F57" t="s">
        <v>990</v>
      </c>
      <c r="G57" t="s">
        <v>621</v>
      </c>
      <c r="H57" t="str">
        <f t="shared" si="0"/>
        <v>029C002346.01</v>
      </c>
    </row>
    <row r="58" spans="1:8" x14ac:dyDescent="0.25">
      <c r="A58">
        <v>29</v>
      </c>
      <c r="B58" t="s">
        <v>653</v>
      </c>
      <c r="C58" t="s">
        <v>652</v>
      </c>
      <c r="D58" t="s">
        <v>988</v>
      </c>
      <c r="E58" t="s">
        <v>989</v>
      </c>
      <c r="F58" t="s">
        <v>990</v>
      </c>
      <c r="G58" t="s">
        <v>621</v>
      </c>
      <c r="H58" t="str">
        <f t="shared" si="0"/>
        <v>029C001874.00</v>
      </c>
    </row>
    <row r="59" spans="1:8" x14ac:dyDescent="0.25">
      <c r="A59">
        <v>29</v>
      </c>
      <c r="B59" t="s">
        <v>653</v>
      </c>
      <c r="C59" t="s">
        <v>652</v>
      </c>
      <c r="D59" t="s">
        <v>988</v>
      </c>
      <c r="E59" t="s">
        <v>989</v>
      </c>
      <c r="F59" t="s">
        <v>990</v>
      </c>
      <c r="G59" t="s">
        <v>621</v>
      </c>
      <c r="H59" t="str">
        <f t="shared" si="0"/>
        <v>029C001874.01</v>
      </c>
    </row>
    <row r="60" spans="1:8" x14ac:dyDescent="0.25">
      <c r="A60">
        <v>30</v>
      </c>
      <c r="B60" t="s">
        <v>709</v>
      </c>
      <c r="C60" t="s">
        <v>708</v>
      </c>
      <c r="D60" t="s">
        <v>988</v>
      </c>
      <c r="E60" t="s">
        <v>989</v>
      </c>
      <c r="F60" t="s">
        <v>990</v>
      </c>
      <c r="G60" t="s">
        <v>621</v>
      </c>
      <c r="H60" t="str">
        <f t="shared" si="0"/>
        <v>029C002280.00</v>
      </c>
    </row>
    <row r="61" spans="1:8" x14ac:dyDescent="0.25">
      <c r="A61">
        <v>30</v>
      </c>
      <c r="B61" t="s">
        <v>709</v>
      </c>
      <c r="C61" t="s">
        <v>708</v>
      </c>
      <c r="D61" t="s">
        <v>988</v>
      </c>
      <c r="E61" t="s">
        <v>989</v>
      </c>
      <c r="F61" t="s">
        <v>990</v>
      </c>
      <c r="G61" t="s">
        <v>621</v>
      </c>
      <c r="H61" t="str">
        <f t="shared" si="0"/>
        <v>029C002280.01</v>
      </c>
    </row>
    <row r="62" spans="1:8" x14ac:dyDescent="0.25">
      <c r="A62">
        <v>31</v>
      </c>
      <c r="B62" t="s">
        <v>116</v>
      </c>
      <c r="C62" t="s">
        <v>115</v>
      </c>
      <c r="D62" t="s">
        <v>988</v>
      </c>
      <c r="E62" t="s">
        <v>989</v>
      </c>
      <c r="F62" t="s">
        <v>990</v>
      </c>
      <c r="G62" t="s">
        <v>83</v>
      </c>
      <c r="H62" t="str">
        <f t="shared" si="0"/>
        <v>029C006479.00</v>
      </c>
    </row>
    <row r="63" spans="1:8" x14ac:dyDescent="0.25">
      <c r="A63">
        <v>31</v>
      </c>
      <c r="B63" t="s">
        <v>116</v>
      </c>
      <c r="C63" t="s">
        <v>115</v>
      </c>
      <c r="D63" t="s">
        <v>988</v>
      </c>
      <c r="E63" t="s">
        <v>989</v>
      </c>
      <c r="F63" t="s">
        <v>990</v>
      </c>
      <c r="G63" t="s">
        <v>83</v>
      </c>
      <c r="H63" t="str">
        <f t="shared" si="0"/>
        <v>029C006479.01</v>
      </c>
    </row>
    <row r="64" spans="1:8" x14ac:dyDescent="0.25">
      <c r="A64">
        <v>32</v>
      </c>
      <c r="B64" t="s">
        <v>346</v>
      </c>
      <c r="C64" t="s">
        <v>345</v>
      </c>
      <c r="D64" t="s">
        <v>988</v>
      </c>
      <c r="E64" t="s">
        <v>989</v>
      </c>
      <c r="F64" t="s">
        <v>990</v>
      </c>
      <c r="G64" t="s">
        <v>224</v>
      </c>
      <c r="H64" t="str">
        <f t="shared" si="0"/>
        <v>029C001227.00</v>
      </c>
    </row>
    <row r="65" spans="1:8" x14ac:dyDescent="0.25">
      <c r="A65">
        <v>32</v>
      </c>
      <c r="B65" t="s">
        <v>346</v>
      </c>
      <c r="C65" t="s">
        <v>345</v>
      </c>
      <c r="D65" t="s">
        <v>988</v>
      </c>
      <c r="E65" t="s">
        <v>989</v>
      </c>
      <c r="F65" t="s">
        <v>990</v>
      </c>
      <c r="G65" t="s">
        <v>224</v>
      </c>
      <c r="H65" t="str">
        <f t="shared" si="0"/>
        <v>029C001227.01</v>
      </c>
    </row>
    <row r="66" spans="1:8" x14ac:dyDescent="0.25">
      <c r="A66">
        <v>33</v>
      </c>
      <c r="B66" t="s">
        <v>118</v>
      </c>
      <c r="C66" t="s">
        <v>117</v>
      </c>
      <c r="D66" t="s">
        <v>988</v>
      </c>
      <c r="E66" t="s">
        <v>989</v>
      </c>
      <c r="F66" t="s">
        <v>990</v>
      </c>
      <c r="G66" t="s">
        <v>83</v>
      </c>
      <c r="H66" t="str">
        <f t="shared" ref="H66:H129" si="1">C66&amp;IF(MOD(ROW(),2)=0,".00",".01")</f>
        <v>029C715508.00</v>
      </c>
    </row>
    <row r="67" spans="1:8" x14ac:dyDescent="0.25">
      <c r="A67">
        <v>33</v>
      </c>
      <c r="B67" t="s">
        <v>118</v>
      </c>
      <c r="C67" t="s">
        <v>117</v>
      </c>
      <c r="D67" t="s">
        <v>988</v>
      </c>
      <c r="E67" t="s">
        <v>989</v>
      </c>
      <c r="F67" t="s">
        <v>990</v>
      </c>
      <c r="G67" t="s">
        <v>83</v>
      </c>
      <c r="H67" t="str">
        <f t="shared" si="1"/>
        <v>029C715508.01</v>
      </c>
    </row>
    <row r="68" spans="1:8" x14ac:dyDescent="0.25">
      <c r="A68">
        <v>34</v>
      </c>
      <c r="B68" t="s">
        <v>729</v>
      </c>
      <c r="C68" t="s">
        <v>728</v>
      </c>
      <c r="D68" t="s">
        <v>988</v>
      </c>
      <c r="E68" t="s">
        <v>989</v>
      </c>
      <c r="F68" t="s">
        <v>990</v>
      </c>
      <c r="G68" t="s">
        <v>621</v>
      </c>
      <c r="H68" t="str">
        <f t="shared" si="1"/>
        <v>029C002332.00</v>
      </c>
    </row>
    <row r="69" spans="1:8" x14ac:dyDescent="0.25">
      <c r="A69">
        <v>34</v>
      </c>
      <c r="B69" t="s">
        <v>729</v>
      </c>
      <c r="C69" t="s">
        <v>728</v>
      </c>
      <c r="D69" t="s">
        <v>988</v>
      </c>
      <c r="E69" t="s">
        <v>989</v>
      </c>
      <c r="F69" t="s">
        <v>990</v>
      </c>
      <c r="G69" t="s">
        <v>621</v>
      </c>
      <c r="H69" t="str">
        <f t="shared" si="1"/>
        <v>029C002332.01</v>
      </c>
    </row>
    <row r="70" spans="1:8" x14ac:dyDescent="0.25">
      <c r="A70">
        <v>35</v>
      </c>
      <c r="B70" t="s">
        <v>203</v>
      </c>
      <c r="C70" t="s">
        <v>202</v>
      </c>
      <c r="D70" t="s">
        <v>988</v>
      </c>
      <c r="E70" t="s">
        <v>989</v>
      </c>
      <c r="F70" t="s">
        <v>990</v>
      </c>
      <c r="G70" t="s">
        <v>162</v>
      </c>
      <c r="H70" t="str">
        <f t="shared" si="1"/>
        <v>029C001990.00</v>
      </c>
    </row>
    <row r="71" spans="1:8" x14ac:dyDescent="0.25">
      <c r="A71">
        <v>35</v>
      </c>
      <c r="B71" t="s">
        <v>203</v>
      </c>
      <c r="C71" t="s">
        <v>202</v>
      </c>
      <c r="D71" t="s">
        <v>988</v>
      </c>
      <c r="E71" t="s">
        <v>989</v>
      </c>
      <c r="F71" t="s">
        <v>990</v>
      </c>
      <c r="G71" t="s">
        <v>162</v>
      </c>
      <c r="H71" t="str">
        <f t="shared" si="1"/>
        <v>029C001990.01</v>
      </c>
    </row>
    <row r="72" spans="1:8" x14ac:dyDescent="0.25">
      <c r="A72">
        <v>36</v>
      </c>
      <c r="B72" t="s">
        <v>64</v>
      </c>
      <c r="C72" t="s">
        <v>63</v>
      </c>
      <c r="D72" t="s">
        <v>988</v>
      </c>
      <c r="E72" t="s">
        <v>989</v>
      </c>
      <c r="F72" t="s">
        <v>990</v>
      </c>
      <c r="H72" t="str">
        <f t="shared" si="1"/>
        <v>029C003974.00</v>
      </c>
    </row>
    <row r="73" spans="1:8" x14ac:dyDescent="0.25">
      <c r="A73">
        <v>36</v>
      </c>
      <c r="B73" t="s">
        <v>64</v>
      </c>
      <c r="C73" t="s">
        <v>63</v>
      </c>
      <c r="D73" t="s">
        <v>988</v>
      </c>
      <c r="E73" t="s">
        <v>989</v>
      </c>
      <c r="F73" t="s">
        <v>990</v>
      </c>
      <c r="H73" t="str">
        <f t="shared" si="1"/>
        <v>029C003974.01</v>
      </c>
    </row>
    <row r="74" spans="1:8" x14ac:dyDescent="0.25">
      <c r="A74">
        <v>37</v>
      </c>
      <c r="B74" t="s">
        <v>689</v>
      </c>
      <c r="C74" t="s">
        <v>688</v>
      </c>
      <c r="D74" t="s">
        <v>988</v>
      </c>
      <c r="E74" t="s">
        <v>989</v>
      </c>
      <c r="F74" t="s">
        <v>990</v>
      </c>
      <c r="G74" t="s">
        <v>621</v>
      </c>
      <c r="H74" t="str">
        <f t="shared" si="1"/>
        <v>029C002021.00</v>
      </c>
    </row>
    <row r="75" spans="1:8" x14ac:dyDescent="0.25">
      <c r="A75">
        <v>37</v>
      </c>
      <c r="B75" t="s">
        <v>689</v>
      </c>
      <c r="C75" t="s">
        <v>688</v>
      </c>
      <c r="D75" t="s">
        <v>988</v>
      </c>
      <c r="E75" t="s">
        <v>989</v>
      </c>
      <c r="F75" t="s">
        <v>990</v>
      </c>
      <c r="G75" t="s">
        <v>621</v>
      </c>
      <c r="H75" t="str">
        <f t="shared" si="1"/>
        <v>029C002021.01</v>
      </c>
    </row>
    <row r="76" spans="1:8" x14ac:dyDescent="0.25">
      <c r="A76">
        <v>38</v>
      </c>
      <c r="B76" t="s">
        <v>633</v>
      </c>
      <c r="C76" t="s">
        <v>632</v>
      </c>
      <c r="D76" t="s">
        <v>988</v>
      </c>
      <c r="E76" t="s">
        <v>989</v>
      </c>
      <c r="F76" t="s">
        <v>990</v>
      </c>
      <c r="G76" t="s">
        <v>621</v>
      </c>
      <c r="H76" t="str">
        <f t="shared" si="1"/>
        <v>029C001759.00</v>
      </c>
    </row>
    <row r="77" spans="1:8" x14ac:dyDescent="0.25">
      <c r="A77">
        <v>38</v>
      </c>
      <c r="B77" t="s">
        <v>633</v>
      </c>
      <c r="C77" t="s">
        <v>632</v>
      </c>
      <c r="D77" t="s">
        <v>988</v>
      </c>
      <c r="E77" t="s">
        <v>989</v>
      </c>
      <c r="F77" t="s">
        <v>990</v>
      </c>
      <c r="G77" t="s">
        <v>621</v>
      </c>
      <c r="H77" t="str">
        <f t="shared" si="1"/>
        <v>029C001759.01</v>
      </c>
    </row>
    <row r="78" spans="1:8" x14ac:dyDescent="0.25">
      <c r="A78">
        <v>39</v>
      </c>
      <c r="B78" t="s">
        <v>731</v>
      </c>
      <c r="C78" t="s">
        <v>730</v>
      </c>
      <c r="D78" t="s">
        <v>988</v>
      </c>
      <c r="E78" t="s">
        <v>989</v>
      </c>
      <c r="F78" t="s">
        <v>990</v>
      </c>
      <c r="G78" t="s">
        <v>224</v>
      </c>
      <c r="H78" t="str">
        <f t="shared" si="1"/>
        <v>029C002333.00</v>
      </c>
    </row>
    <row r="79" spans="1:8" x14ac:dyDescent="0.25">
      <c r="A79">
        <v>39</v>
      </c>
      <c r="B79" t="s">
        <v>731</v>
      </c>
      <c r="C79" t="s">
        <v>730</v>
      </c>
      <c r="D79" t="s">
        <v>988</v>
      </c>
      <c r="E79" t="s">
        <v>989</v>
      </c>
      <c r="F79" t="s">
        <v>990</v>
      </c>
      <c r="G79" t="s">
        <v>224</v>
      </c>
      <c r="H79" t="str">
        <f t="shared" si="1"/>
        <v>029C002333.01</v>
      </c>
    </row>
    <row r="80" spans="1:8" x14ac:dyDescent="0.25">
      <c r="A80">
        <v>40</v>
      </c>
      <c r="B80" t="s">
        <v>353</v>
      </c>
      <c r="C80" t="s">
        <v>352</v>
      </c>
      <c r="D80" t="s">
        <v>988</v>
      </c>
      <c r="E80" t="s">
        <v>989</v>
      </c>
      <c r="F80" t="s">
        <v>990</v>
      </c>
      <c r="G80" t="s">
        <v>224</v>
      </c>
      <c r="H80" t="str">
        <f t="shared" si="1"/>
        <v>029C003552.00</v>
      </c>
    </row>
    <row r="81" spans="1:8" x14ac:dyDescent="0.25">
      <c r="A81">
        <v>40</v>
      </c>
      <c r="B81" t="s">
        <v>353</v>
      </c>
      <c r="C81" t="s">
        <v>352</v>
      </c>
      <c r="D81" t="s">
        <v>988</v>
      </c>
      <c r="E81" t="s">
        <v>989</v>
      </c>
      <c r="F81" t="s">
        <v>990</v>
      </c>
      <c r="G81" t="s">
        <v>224</v>
      </c>
      <c r="H81" t="str">
        <f t="shared" si="1"/>
        <v>029C003552.01</v>
      </c>
    </row>
    <row r="82" spans="1:8" x14ac:dyDescent="0.25">
      <c r="A82">
        <v>41</v>
      </c>
      <c r="B82" t="s">
        <v>857</v>
      </c>
      <c r="C82" t="s">
        <v>856</v>
      </c>
      <c r="D82" t="s">
        <v>988</v>
      </c>
      <c r="E82" t="s">
        <v>989</v>
      </c>
      <c r="F82" t="s">
        <v>990</v>
      </c>
      <c r="G82" t="s">
        <v>621</v>
      </c>
      <c r="H82" t="str">
        <f t="shared" si="1"/>
        <v>029C186969.00</v>
      </c>
    </row>
    <row r="83" spans="1:8" x14ac:dyDescent="0.25">
      <c r="A83">
        <v>41</v>
      </c>
      <c r="B83" t="s">
        <v>857</v>
      </c>
      <c r="C83" t="s">
        <v>856</v>
      </c>
      <c r="D83" t="s">
        <v>988</v>
      </c>
      <c r="E83" t="s">
        <v>989</v>
      </c>
      <c r="F83" t="s">
        <v>990</v>
      </c>
      <c r="G83" t="s">
        <v>621</v>
      </c>
      <c r="H83" t="str">
        <f t="shared" si="1"/>
        <v>029C186969.01</v>
      </c>
    </row>
    <row r="84" spans="1:8" x14ac:dyDescent="0.25">
      <c r="A84">
        <v>42</v>
      </c>
      <c r="B84" t="s">
        <v>739</v>
      </c>
      <c r="C84" t="s">
        <v>738</v>
      </c>
      <c r="D84" t="s">
        <v>988</v>
      </c>
      <c r="E84" t="s">
        <v>989</v>
      </c>
      <c r="F84" t="s">
        <v>990</v>
      </c>
      <c r="G84" t="s">
        <v>487</v>
      </c>
      <c r="H84" t="str">
        <f t="shared" si="1"/>
        <v>029C002339.00</v>
      </c>
    </row>
    <row r="85" spans="1:8" x14ac:dyDescent="0.25">
      <c r="A85">
        <v>42</v>
      </c>
      <c r="B85" t="s">
        <v>739</v>
      </c>
      <c r="C85" t="s">
        <v>738</v>
      </c>
      <c r="D85" t="s">
        <v>988</v>
      </c>
      <c r="E85" t="s">
        <v>989</v>
      </c>
      <c r="F85" t="s">
        <v>990</v>
      </c>
      <c r="G85" t="s">
        <v>487</v>
      </c>
      <c r="H85" t="str">
        <f t="shared" si="1"/>
        <v>029C002339.01</v>
      </c>
    </row>
    <row r="86" spans="1:8" x14ac:dyDescent="0.25">
      <c r="A86">
        <v>43</v>
      </c>
      <c r="B86" t="s">
        <v>181</v>
      </c>
      <c r="C86" t="s">
        <v>180</v>
      </c>
      <c r="D86" t="s">
        <v>988</v>
      </c>
      <c r="E86" t="s">
        <v>989</v>
      </c>
      <c r="F86" t="s">
        <v>990</v>
      </c>
      <c r="G86" t="s">
        <v>162</v>
      </c>
      <c r="H86" t="str">
        <f t="shared" si="1"/>
        <v>029C001846.00</v>
      </c>
    </row>
    <row r="87" spans="1:8" x14ac:dyDescent="0.25">
      <c r="A87">
        <v>43</v>
      </c>
      <c r="B87" t="s">
        <v>181</v>
      </c>
      <c r="C87" t="s">
        <v>180</v>
      </c>
      <c r="D87" t="s">
        <v>988</v>
      </c>
      <c r="E87" t="s">
        <v>989</v>
      </c>
      <c r="F87" t="s">
        <v>990</v>
      </c>
      <c r="G87" t="s">
        <v>162</v>
      </c>
      <c r="H87" t="str">
        <f t="shared" si="1"/>
        <v>029C001846.01</v>
      </c>
    </row>
    <row r="88" spans="1:8" x14ac:dyDescent="0.25">
      <c r="A88">
        <v>44</v>
      </c>
      <c r="B88" t="s">
        <v>905</v>
      </c>
      <c r="C88" t="s">
        <v>904</v>
      </c>
      <c r="D88" t="s">
        <v>988</v>
      </c>
      <c r="E88" t="s">
        <v>989</v>
      </c>
      <c r="F88" t="s">
        <v>990</v>
      </c>
      <c r="G88" t="s">
        <v>621</v>
      </c>
      <c r="H88" t="str">
        <f t="shared" si="1"/>
        <v>029C664444.00</v>
      </c>
    </row>
    <row r="89" spans="1:8" x14ac:dyDescent="0.25">
      <c r="A89">
        <v>44</v>
      </c>
      <c r="B89" t="s">
        <v>905</v>
      </c>
      <c r="C89" t="s">
        <v>904</v>
      </c>
      <c r="D89" t="s">
        <v>988</v>
      </c>
      <c r="E89" t="s">
        <v>989</v>
      </c>
      <c r="F89" t="s">
        <v>990</v>
      </c>
      <c r="G89" t="s">
        <v>621</v>
      </c>
      <c r="H89" t="str">
        <f t="shared" si="1"/>
        <v>029C664444.01</v>
      </c>
    </row>
    <row r="90" spans="1:8" x14ac:dyDescent="0.25">
      <c r="A90">
        <v>45</v>
      </c>
      <c r="B90" t="s">
        <v>16</v>
      </c>
      <c r="C90" t="s">
        <v>15</v>
      </c>
      <c r="D90" t="s">
        <v>988</v>
      </c>
      <c r="E90" t="s">
        <v>989</v>
      </c>
      <c r="F90" t="s">
        <v>990</v>
      </c>
      <c r="H90" t="str">
        <f t="shared" si="1"/>
        <v>029C006037.00</v>
      </c>
    </row>
    <row r="91" spans="1:8" x14ac:dyDescent="0.25">
      <c r="A91">
        <v>45</v>
      </c>
      <c r="B91" t="s">
        <v>16</v>
      </c>
      <c r="C91" t="s">
        <v>15</v>
      </c>
      <c r="D91" t="s">
        <v>988</v>
      </c>
      <c r="E91" t="s">
        <v>989</v>
      </c>
      <c r="F91" t="s">
        <v>990</v>
      </c>
      <c r="H91" t="str">
        <f t="shared" si="1"/>
        <v>029C006037.01</v>
      </c>
    </row>
    <row r="92" spans="1:8" x14ac:dyDescent="0.25">
      <c r="A92">
        <v>46</v>
      </c>
      <c r="B92" t="s">
        <v>771</v>
      </c>
      <c r="C92" t="s">
        <v>770</v>
      </c>
      <c r="D92" t="s">
        <v>988</v>
      </c>
      <c r="E92" t="s">
        <v>989</v>
      </c>
      <c r="F92" t="s">
        <v>990</v>
      </c>
      <c r="G92" t="s">
        <v>621</v>
      </c>
      <c r="H92" t="str">
        <f t="shared" si="1"/>
        <v>029C002689.00</v>
      </c>
    </row>
    <row r="93" spans="1:8" x14ac:dyDescent="0.25">
      <c r="A93">
        <v>46</v>
      </c>
      <c r="B93" t="s">
        <v>771</v>
      </c>
      <c r="C93" t="s">
        <v>770</v>
      </c>
      <c r="D93" t="s">
        <v>988</v>
      </c>
      <c r="E93" t="s">
        <v>989</v>
      </c>
      <c r="F93" t="s">
        <v>990</v>
      </c>
      <c r="G93" t="s">
        <v>621</v>
      </c>
      <c r="H93" t="str">
        <f t="shared" si="1"/>
        <v>029C002689.01</v>
      </c>
    </row>
    <row r="94" spans="1:8" x14ac:dyDescent="0.25">
      <c r="A94">
        <v>47</v>
      </c>
      <c r="B94" t="s">
        <v>199</v>
      </c>
      <c r="C94" t="s">
        <v>198</v>
      </c>
      <c r="D94" t="s">
        <v>988</v>
      </c>
      <c r="E94" t="s">
        <v>989</v>
      </c>
      <c r="F94" t="s">
        <v>990</v>
      </c>
      <c r="G94" t="s">
        <v>162</v>
      </c>
      <c r="H94" t="str">
        <f t="shared" si="1"/>
        <v>029C001960.00</v>
      </c>
    </row>
    <row r="95" spans="1:8" x14ac:dyDescent="0.25">
      <c r="A95">
        <v>47</v>
      </c>
      <c r="B95" t="s">
        <v>199</v>
      </c>
      <c r="C95" t="s">
        <v>198</v>
      </c>
      <c r="D95" t="s">
        <v>988</v>
      </c>
      <c r="E95" t="s">
        <v>989</v>
      </c>
      <c r="F95" t="s">
        <v>990</v>
      </c>
      <c r="G95" t="s">
        <v>162</v>
      </c>
      <c r="H95" t="str">
        <f t="shared" si="1"/>
        <v>029C001960.01</v>
      </c>
    </row>
    <row r="96" spans="1:8" x14ac:dyDescent="0.25">
      <c r="A96">
        <v>48</v>
      </c>
      <c r="B96" t="s">
        <v>137</v>
      </c>
      <c r="C96" t="s">
        <v>136</v>
      </c>
      <c r="D96" t="s">
        <v>988</v>
      </c>
      <c r="E96" t="s">
        <v>989</v>
      </c>
      <c r="F96" t="s">
        <v>990</v>
      </c>
      <c r="G96" t="s">
        <v>619</v>
      </c>
      <c r="H96" t="str">
        <f t="shared" si="1"/>
        <v>029C000956.00</v>
      </c>
    </row>
    <row r="97" spans="1:8" x14ac:dyDescent="0.25">
      <c r="A97">
        <v>48</v>
      </c>
      <c r="B97" t="s">
        <v>137</v>
      </c>
      <c r="C97" t="s">
        <v>136</v>
      </c>
      <c r="D97" t="s">
        <v>988</v>
      </c>
      <c r="E97" t="s">
        <v>989</v>
      </c>
      <c r="F97" t="s">
        <v>990</v>
      </c>
      <c r="G97" t="s">
        <v>619</v>
      </c>
      <c r="H97" t="str">
        <f t="shared" si="1"/>
        <v>029C000956.01</v>
      </c>
    </row>
    <row r="98" spans="1:8" x14ac:dyDescent="0.25">
      <c r="A98">
        <v>49</v>
      </c>
      <c r="B98" t="s">
        <v>143</v>
      </c>
      <c r="C98" t="s">
        <v>142</v>
      </c>
      <c r="D98" t="s">
        <v>988</v>
      </c>
      <c r="E98" t="s">
        <v>989</v>
      </c>
      <c r="F98" t="s">
        <v>990</v>
      </c>
      <c r="G98" t="s">
        <v>619</v>
      </c>
      <c r="H98" t="str">
        <f t="shared" si="1"/>
        <v>029C000961.00</v>
      </c>
    </row>
    <row r="99" spans="1:8" x14ac:dyDescent="0.25">
      <c r="A99">
        <v>49</v>
      </c>
      <c r="B99" t="s">
        <v>143</v>
      </c>
      <c r="C99" t="s">
        <v>142</v>
      </c>
      <c r="D99" t="s">
        <v>988</v>
      </c>
      <c r="E99" t="s">
        <v>989</v>
      </c>
      <c r="F99" t="s">
        <v>990</v>
      </c>
      <c r="G99" t="s">
        <v>619</v>
      </c>
      <c r="H99" t="str">
        <f t="shared" si="1"/>
        <v>029C000961.01</v>
      </c>
    </row>
    <row r="100" spans="1:8" x14ac:dyDescent="0.25">
      <c r="A100">
        <v>50</v>
      </c>
      <c r="B100" t="s">
        <v>667</v>
      </c>
      <c r="C100" t="s">
        <v>666</v>
      </c>
      <c r="D100" t="s">
        <v>988</v>
      </c>
      <c r="E100" t="s">
        <v>989</v>
      </c>
      <c r="F100" t="s">
        <v>990</v>
      </c>
      <c r="G100" t="s">
        <v>621</v>
      </c>
      <c r="H100" t="str">
        <f t="shared" si="1"/>
        <v>029C001885.00</v>
      </c>
    </row>
    <row r="101" spans="1:8" x14ac:dyDescent="0.25">
      <c r="A101">
        <v>50</v>
      </c>
      <c r="B101" t="s">
        <v>667</v>
      </c>
      <c r="C101" t="s">
        <v>666</v>
      </c>
      <c r="D101" t="s">
        <v>988</v>
      </c>
      <c r="E101" t="s">
        <v>989</v>
      </c>
      <c r="F101" t="s">
        <v>990</v>
      </c>
      <c r="G101" t="s">
        <v>621</v>
      </c>
      <c r="H101" t="str">
        <f t="shared" si="1"/>
        <v>029C001885.01</v>
      </c>
    </row>
    <row r="102" spans="1:8" x14ac:dyDescent="0.25">
      <c r="A102">
        <v>51</v>
      </c>
      <c r="B102" t="s">
        <v>743</v>
      </c>
      <c r="C102" t="s">
        <v>742</v>
      </c>
      <c r="D102" t="s">
        <v>988</v>
      </c>
      <c r="E102" t="s">
        <v>989</v>
      </c>
      <c r="F102" t="s">
        <v>990</v>
      </c>
      <c r="G102" t="s">
        <v>224</v>
      </c>
      <c r="H102" t="str">
        <f t="shared" si="1"/>
        <v>029C002342.00</v>
      </c>
    </row>
    <row r="103" spans="1:8" x14ac:dyDescent="0.25">
      <c r="A103">
        <v>51</v>
      </c>
      <c r="B103" t="s">
        <v>743</v>
      </c>
      <c r="C103" t="s">
        <v>742</v>
      </c>
      <c r="D103" t="s">
        <v>988</v>
      </c>
      <c r="E103" t="s">
        <v>989</v>
      </c>
      <c r="F103" t="s">
        <v>990</v>
      </c>
      <c r="G103" t="s">
        <v>224</v>
      </c>
      <c r="H103" t="str">
        <f t="shared" si="1"/>
        <v>029C002342.01</v>
      </c>
    </row>
    <row r="104" spans="1:8" x14ac:dyDescent="0.25">
      <c r="A104">
        <v>52</v>
      </c>
      <c r="B104" t="s">
        <v>20</v>
      </c>
      <c r="C104" t="s">
        <v>19</v>
      </c>
      <c r="D104" t="s">
        <v>988</v>
      </c>
      <c r="E104" t="s">
        <v>989</v>
      </c>
      <c r="F104" t="s">
        <v>990</v>
      </c>
      <c r="H104" t="str">
        <f t="shared" si="1"/>
        <v>029C004022.00</v>
      </c>
    </row>
    <row r="105" spans="1:8" x14ac:dyDescent="0.25">
      <c r="A105">
        <v>52</v>
      </c>
      <c r="B105" t="s">
        <v>20</v>
      </c>
      <c r="C105" t="s">
        <v>19</v>
      </c>
      <c r="D105" t="s">
        <v>988</v>
      </c>
      <c r="E105" t="s">
        <v>989</v>
      </c>
      <c r="F105" t="s">
        <v>990</v>
      </c>
      <c r="H105" t="str">
        <f t="shared" si="1"/>
        <v>029C004022.01</v>
      </c>
    </row>
    <row r="106" spans="1:8" x14ac:dyDescent="0.25">
      <c r="A106">
        <v>53</v>
      </c>
      <c r="B106" t="s">
        <v>793</v>
      </c>
      <c r="C106" t="s">
        <v>792</v>
      </c>
      <c r="D106" t="s">
        <v>988</v>
      </c>
      <c r="E106" t="s">
        <v>989</v>
      </c>
      <c r="F106" t="s">
        <v>990</v>
      </c>
      <c r="G106" t="s">
        <v>224</v>
      </c>
      <c r="H106" t="str">
        <f t="shared" si="1"/>
        <v>029C003735.00</v>
      </c>
    </row>
    <row r="107" spans="1:8" x14ac:dyDescent="0.25">
      <c r="A107">
        <v>53</v>
      </c>
      <c r="B107" t="s">
        <v>793</v>
      </c>
      <c r="C107" t="s">
        <v>792</v>
      </c>
      <c r="D107" t="s">
        <v>988</v>
      </c>
      <c r="E107" t="s">
        <v>989</v>
      </c>
      <c r="F107" t="s">
        <v>990</v>
      </c>
      <c r="G107" t="s">
        <v>224</v>
      </c>
      <c r="H107" t="str">
        <f t="shared" si="1"/>
        <v>029C003735.01</v>
      </c>
    </row>
    <row r="108" spans="1:8" x14ac:dyDescent="0.25">
      <c r="A108">
        <v>54</v>
      </c>
      <c r="B108" t="s">
        <v>705</v>
      </c>
      <c r="C108" t="s">
        <v>704</v>
      </c>
      <c r="D108" t="s">
        <v>988</v>
      </c>
      <c r="E108" t="s">
        <v>989</v>
      </c>
      <c r="F108" t="s">
        <v>990</v>
      </c>
      <c r="G108" t="s">
        <v>621</v>
      </c>
      <c r="H108" t="str">
        <f t="shared" si="1"/>
        <v>029C002276.00</v>
      </c>
    </row>
    <row r="109" spans="1:8" x14ac:dyDescent="0.25">
      <c r="A109">
        <v>54</v>
      </c>
      <c r="B109" t="s">
        <v>705</v>
      </c>
      <c r="C109" t="s">
        <v>704</v>
      </c>
      <c r="D109" t="s">
        <v>988</v>
      </c>
      <c r="E109" t="s">
        <v>989</v>
      </c>
      <c r="F109" t="s">
        <v>990</v>
      </c>
      <c r="G109" t="s">
        <v>621</v>
      </c>
      <c r="H109" t="str">
        <f t="shared" si="1"/>
        <v>029C002276.01</v>
      </c>
    </row>
    <row r="110" spans="1:8" x14ac:dyDescent="0.25">
      <c r="A110">
        <v>55</v>
      </c>
      <c r="B110" t="s">
        <v>859</v>
      </c>
      <c r="C110" t="s">
        <v>858</v>
      </c>
      <c r="D110" t="s">
        <v>988</v>
      </c>
      <c r="E110" t="s">
        <v>989</v>
      </c>
      <c r="F110" t="s">
        <v>990</v>
      </c>
      <c r="G110" t="s">
        <v>487</v>
      </c>
      <c r="H110" t="str">
        <f t="shared" si="1"/>
        <v>029C190106.00</v>
      </c>
    </row>
    <row r="111" spans="1:8" x14ac:dyDescent="0.25">
      <c r="A111">
        <v>55</v>
      </c>
      <c r="B111" t="s">
        <v>859</v>
      </c>
      <c r="C111" t="s">
        <v>858</v>
      </c>
      <c r="D111" t="s">
        <v>988</v>
      </c>
      <c r="E111" t="s">
        <v>989</v>
      </c>
      <c r="F111" t="s">
        <v>990</v>
      </c>
      <c r="G111" t="s">
        <v>487</v>
      </c>
      <c r="H111" t="str">
        <f t="shared" si="1"/>
        <v>029C190106.01</v>
      </c>
    </row>
    <row r="112" spans="1:8" x14ac:dyDescent="0.25">
      <c r="A112">
        <v>56</v>
      </c>
      <c r="B112" t="s">
        <v>22</v>
      </c>
      <c r="C112" t="s">
        <v>21</v>
      </c>
      <c r="D112" t="s">
        <v>988</v>
      </c>
      <c r="E112" t="s">
        <v>989</v>
      </c>
      <c r="F112" t="s">
        <v>990</v>
      </c>
      <c r="H112" t="str">
        <f t="shared" si="1"/>
        <v>029C001827.00</v>
      </c>
    </row>
    <row r="113" spans="1:8" x14ac:dyDescent="0.25">
      <c r="A113">
        <v>56</v>
      </c>
      <c r="B113" t="s">
        <v>22</v>
      </c>
      <c r="C113" t="s">
        <v>21</v>
      </c>
      <c r="D113" t="s">
        <v>988</v>
      </c>
      <c r="E113" t="s">
        <v>989</v>
      </c>
      <c r="F113" t="s">
        <v>990</v>
      </c>
      <c r="H113" t="str">
        <f t="shared" si="1"/>
        <v>029C001827.01</v>
      </c>
    </row>
    <row r="114" spans="1:8" x14ac:dyDescent="0.25">
      <c r="A114">
        <v>57</v>
      </c>
      <c r="B114" t="s">
        <v>635</v>
      </c>
      <c r="C114" t="s">
        <v>634</v>
      </c>
      <c r="D114" t="s">
        <v>988</v>
      </c>
      <c r="E114" t="s">
        <v>989</v>
      </c>
      <c r="F114" t="s">
        <v>990</v>
      </c>
      <c r="G114" t="s">
        <v>621</v>
      </c>
      <c r="H114" t="str">
        <f t="shared" si="1"/>
        <v>029C001760.00</v>
      </c>
    </row>
    <row r="115" spans="1:8" x14ac:dyDescent="0.25">
      <c r="A115">
        <v>57</v>
      </c>
      <c r="B115" t="s">
        <v>635</v>
      </c>
      <c r="C115" t="s">
        <v>634</v>
      </c>
      <c r="D115" t="s">
        <v>988</v>
      </c>
      <c r="E115" t="s">
        <v>989</v>
      </c>
      <c r="F115" t="s">
        <v>990</v>
      </c>
      <c r="G115" t="s">
        <v>621</v>
      </c>
      <c r="H115" t="str">
        <f t="shared" si="1"/>
        <v>029C001760.01</v>
      </c>
    </row>
    <row r="116" spans="1:8" x14ac:dyDescent="0.25">
      <c r="A116">
        <v>58</v>
      </c>
      <c r="B116" t="s">
        <v>376</v>
      </c>
      <c r="C116" t="s">
        <v>375</v>
      </c>
      <c r="D116" t="s">
        <v>988</v>
      </c>
      <c r="E116" t="s">
        <v>989</v>
      </c>
      <c r="F116" t="s">
        <v>990</v>
      </c>
      <c r="G116" t="s">
        <v>384</v>
      </c>
      <c r="H116" t="str">
        <f t="shared" si="1"/>
        <v>029C001595.00</v>
      </c>
    </row>
    <row r="117" spans="1:8" x14ac:dyDescent="0.25">
      <c r="A117">
        <v>58</v>
      </c>
      <c r="B117" t="s">
        <v>376</v>
      </c>
      <c r="C117" t="s">
        <v>375</v>
      </c>
      <c r="D117" t="s">
        <v>988</v>
      </c>
      <c r="E117" t="s">
        <v>989</v>
      </c>
      <c r="F117" t="s">
        <v>990</v>
      </c>
      <c r="G117" t="s">
        <v>384</v>
      </c>
      <c r="H117" t="str">
        <f t="shared" si="1"/>
        <v>029C001595.01</v>
      </c>
    </row>
    <row r="118" spans="1:8" x14ac:dyDescent="0.25">
      <c r="A118">
        <v>59</v>
      </c>
      <c r="B118" t="s">
        <v>24</v>
      </c>
      <c r="C118" t="s">
        <v>23</v>
      </c>
      <c r="D118" t="s">
        <v>988</v>
      </c>
      <c r="E118" t="s">
        <v>989</v>
      </c>
      <c r="F118" t="s">
        <v>990</v>
      </c>
      <c r="H118" t="str">
        <f t="shared" si="1"/>
        <v>029C696269.00</v>
      </c>
    </row>
    <row r="119" spans="1:8" x14ac:dyDescent="0.25">
      <c r="A119">
        <v>59</v>
      </c>
      <c r="B119" t="s">
        <v>24</v>
      </c>
      <c r="C119" t="s">
        <v>23</v>
      </c>
      <c r="D119" t="s">
        <v>988</v>
      </c>
      <c r="E119" t="s">
        <v>989</v>
      </c>
      <c r="F119" t="s">
        <v>990</v>
      </c>
      <c r="H119" t="str">
        <f t="shared" si="1"/>
        <v>029C696269.01</v>
      </c>
    </row>
    <row r="120" spans="1:8" x14ac:dyDescent="0.25">
      <c r="A120">
        <v>60</v>
      </c>
      <c r="B120" t="s">
        <v>98</v>
      </c>
      <c r="C120" t="s">
        <v>97</v>
      </c>
      <c r="D120" t="s">
        <v>988</v>
      </c>
      <c r="E120" t="s">
        <v>989</v>
      </c>
      <c r="F120" t="s">
        <v>990</v>
      </c>
      <c r="G120" t="s">
        <v>83</v>
      </c>
      <c r="H120" t="str">
        <f t="shared" si="1"/>
        <v>029C161198.00</v>
      </c>
    </row>
    <row r="121" spans="1:8" x14ac:dyDescent="0.25">
      <c r="A121">
        <v>60</v>
      </c>
      <c r="B121" t="s">
        <v>98</v>
      </c>
      <c r="C121" t="s">
        <v>97</v>
      </c>
      <c r="D121" t="s">
        <v>988</v>
      </c>
      <c r="E121" t="s">
        <v>989</v>
      </c>
      <c r="F121" t="s">
        <v>990</v>
      </c>
      <c r="G121" t="s">
        <v>83</v>
      </c>
      <c r="H121" t="str">
        <f t="shared" si="1"/>
        <v>029C161198.01</v>
      </c>
    </row>
    <row r="122" spans="1:8" x14ac:dyDescent="0.25">
      <c r="A122">
        <v>61</v>
      </c>
      <c r="B122" t="s">
        <v>487</v>
      </c>
      <c r="C122" t="s">
        <v>710</v>
      </c>
      <c r="D122" t="s">
        <v>988</v>
      </c>
      <c r="E122" t="s">
        <v>989</v>
      </c>
      <c r="F122" t="s">
        <v>990</v>
      </c>
      <c r="G122" t="s">
        <v>487</v>
      </c>
      <c r="H122" t="str">
        <f t="shared" si="1"/>
        <v>029C002301.00</v>
      </c>
    </row>
    <row r="123" spans="1:8" x14ac:dyDescent="0.25">
      <c r="A123">
        <v>61</v>
      </c>
      <c r="B123" t="s">
        <v>487</v>
      </c>
      <c r="C123" t="s">
        <v>710</v>
      </c>
      <c r="D123" t="s">
        <v>988</v>
      </c>
      <c r="E123" t="s">
        <v>989</v>
      </c>
      <c r="F123" t="s">
        <v>990</v>
      </c>
      <c r="G123" t="s">
        <v>487</v>
      </c>
      <c r="H123" t="str">
        <f t="shared" si="1"/>
        <v>029C002301.01</v>
      </c>
    </row>
    <row r="124" spans="1:8" x14ac:dyDescent="0.25">
      <c r="A124">
        <v>62</v>
      </c>
      <c r="B124" t="s">
        <v>26</v>
      </c>
      <c r="C124" t="s">
        <v>25</v>
      </c>
      <c r="D124" t="s">
        <v>988</v>
      </c>
      <c r="E124" t="s">
        <v>989</v>
      </c>
      <c r="F124" t="s">
        <v>990</v>
      </c>
      <c r="H124" t="str">
        <f t="shared" si="1"/>
        <v>029C001829.00</v>
      </c>
    </row>
    <row r="125" spans="1:8" x14ac:dyDescent="0.25">
      <c r="A125">
        <v>62</v>
      </c>
      <c r="B125" t="s">
        <v>26</v>
      </c>
      <c r="C125" t="s">
        <v>25</v>
      </c>
      <c r="D125" t="s">
        <v>988</v>
      </c>
      <c r="E125" t="s">
        <v>989</v>
      </c>
      <c r="F125" t="s">
        <v>990</v>
      </c>
      <c r="H125" t="str">
        <f t="shared" si="1"/>
        <v>029C001829.01</v>
      </c>
    </row>
    <row r="126" spans="1:8" x14ac:dyDescent="0.25">
      <c r="A126">
        <v>63</v>
      </c>
      <c r="B126" t="s">
        <v>806</v>
      </c>
      <c r="C126" t="s">
        <v>805</v>
      </c>
      <c r="D126" t="s">
        <v>988</v>
      </c>
      <c r="E126" t="s">
        <v>989</v>
      </c>
      <c r="F126" t="s">
        <v>990</v>
      </c>
      <c r="G126" t="s">
        <v>543</v>
      </c>
      <c r="H126" t="str">
        <f t="shared" si="1"/>
        <v>029C003929.00</v>
      </c>
    </row>
    <row r="127" spans="1:8" x14ac:dyDescent="0.25">
      <c r="A127">
        <v>63</v>
      </c>
      <c r="B127" t="s">
        <v>806</v>
      </c>
      <c r="C127" t="s">
        <v>805</v>
      </c>
      <c r="D127" t="s">
        <v>988</v>
      </c>
      <c r="E127" t="s">
        <v>989</v>
      </c>
      <c r="F127" t="s">
        <v>990</v>
      </c>
      <c r="G127" t="s">
        <v>543</v>
      </c>
      <c r="H127" t="str">
        <f t="shared" si="1"/>
        <v>029C003929.01</v>
      </c>
    </row>
    <row r="128" spans="1:8" x14ac:dyDescent="0.25">
      <c r="A128">
        <v>64</v>
      </c>
      <c r="B128" t="s">
        <v>443</v>
      </c>
      <c r="C128" t="s">
        <v>442</v>
      </c>
      <c r="D128" t="s">
        <v>988</v>
      </c>
      <c r="E128" t="s">
        <v>989</v>
      </c>
      <c r="F128" t="s">
        <v>990</v>
      </c>
      <c r="G128" t="s">
        <v>421</v>
      </c>
      <c r="H128" t="str">
        <f t="shared" si="1"/>
        <v>029C182866.00</v>
      </c>
    </row>
    <row r="129" spans="1:8" x14ac:dyDescent="0.25">
      <c r="A129">
        <v>64</v>
      </c>
      <c r="B129" t="s">
        <v>443</v>
      </c>
      <c r="C129" t="s">
        <v>442</v>
      </c>
      <c r="D129" t="s">
        <v>988</v>
      </c>
      <c r="E129" t="s">
        <v>989</v>
      </c>
      <c r="F129" t="s">
        <v>990</v>
      </c>
      <c r="G129" t="s">
        <v>421</v>
      </c>
      <c r="H129" t="str">
        <f t="shared" si="1"/>
        <v>029C182866.01</v>
      </c>
    </row>
    <row r="130" spans="1:8" x14ac:dyDescent="0.25">
      <c r="A130">
        <v>65</v>
      </c>
      <c r="B130" t="s">
        <v>845</v>
      </c>
      <c r="C130" t="s">
        <v>844</v>
      </c>
      <c r="D130" t="s">
        <v>988</v>
      </c>
      <c r="E130" t="s">
        <v>989</v>
      </c>
      <c r="F130" t="s">
        <v>990</v>
      </c>
      <c r="G130" t="s">
        <v>621</v>
      </c>
      <c r="H130" t="str">
        <f t="shared" ref="H130:H193" si="2">C130&amp;IF(MOD(ROW(),2)=0,".00",".01")</f>
        <v>029C141198.00</v>
      </c>
    </row>
    <row r="131" spans="1:8" x14ac:dyDescent="0.25">
      <c r="A131">
        <v>65</v>
      </c>
      <c r="B131" t="s">
        <v>845</v>
      </c>
      <c r="C131" t="s">
        <v>844</v>
      </c>
      <c r="D131" t="s">
        <v>988</v>
      </c>
      <c r="E131" t="s">
        <v>989</v>
      </c>
      <c r="F131" t="s">
        <v>990</v>
      </c>
      <c r="G131" t="s">
        <v>621</v>
      </c>
      <c r="H131" t="str">
        <f t="shared" si="2"/>
        <v>029C141198.01</v>
      </c>
    </row>
    <row r="132" spans="1:8" x14ac:dyDescent="0.25">
      <c r="A132">
        <v>66</v>
      </c>
      <c r="B132" t="s">
        <v>460</v>
      </c>
      <c r="C132" t="s">
        <v>459</v>
      </c>
      <c r="D132" t="s">
        <v>988</v>
      </c>
      <c r="E132" t="s">
        <v>989</v>
      </c>
      <c r="F132" t="s">
        <v>990</v>
      </c>
      <c r="G132" t="s">
        <v>452</v>
      </c>
      <c r="H132" t="str">
        <f t="shared" si="2"/>
        <v>029C003327.00</v>
      </c>
    </row>
    <row r="133" spans="1:8" x14ac:dyDescent="0.25">
      <c r="A133">
        <v>66</v>
      </c>
      <c r="B133" t="s">
        <v>460</v>
      </c>
      <c r="C133" t="s">
        <v>459</v>
      </c>
      <c r="D133" t="s">
        <v>988</v>
      </c>
      <c r="E133" t="s">
        <v>989</v>
      </c>
      <c r="F133" t="s">
        <v>990</v>
      </c>
      <c r="G133" t="s">
        <v>452</v>
      </c>
      <c r="H133" t="str">
        <f t="shared" si="2"/>
        <v>029C003327.01</v>
      </c>
    </row>
    <row r="134" spans="1:8" x14ac:dyDescent="0.25">
      <c r="A134">
        <v>67</v>
      </c>
      <c r="B134" t="s">
        <v>783</v>
      </c>
      <c r="C134" t="s">
        <v>782</v>
      </c>
      <c r="D134" t="s">
        <v>988</v>
      </c>
      <c r="E134" t="s">
        <v>989</v>
      </c>
      <c r="F134" t="s">
        <v>990</v>
      </c>
      <c r="G134" t="s">
        <v>621</v>
      </c>
      <c r="H134" t="str">
        <f t="shared" si="2"/>
        <v>029C003326.00</v>
      </c>
    </row>
    <row r="135" spans="1:8" x14ac:dyDescent="0.25">
      <c r="A135">
        <v>67</v>
      </c>
      <c r="B135" t="s">
        <v>783</v>
      </c>
      <c r="C135" t="s">
        <v>782</v>
      </c>
      <c r="D135" t="s">
        <v>988</v>
      </c>
      <c r="E135" t="s">
        <v>989</v>
      </c>
      <c r="F135" t="s">
        <v>990</v>
      </c>
      <c r="G135" t="s">
        <v>621</v>
      </c>
      <c r="H135" t="str">
        <f t="shared" si="2"/>
        <v>029C003326.01</v>
      </c>
    </row>
    <row r="136" spans="1:8" x14ac:dyDescent="0.25">
      <c r="A136">
        <v>68</v>
      </c>
      <c r="B136" t="s">
        <v>18</v>
      </c>
      <c r="C136" t="s">
        <v>17</v>
      </c>
      <c r="D136" t="s">
        <v>988</v>
      </c>
      <c r="E136" t="s">
        <v>989</v>
      </c>
      <c r="F136" t="s">
        <v>990</v>
      </c>
      <c r="H136" t="str">
        <f t="shared" si="2"/>
        <v>029C001011.00</v>
      </c>
    </row>
    <row r="137" spans="1:8" x14ac:dyDescent="0.25">
      <c r="A137">
        <v>68</v>
      </c>
      <c r="B137" t="s">
        <v>18</v>
      </c>
      <c r="C137" t="s">
        <v>17</v>
      </c>
      <c r="D137" t="s">
        <v>988</v>
      </c>
      <c r="E137" t="s">
        <v>989</v>
      </c>
      <c r="F137" t="s">
        <v>990</v>
      </c>
      <c r="H137" t="str">
        <f t="shared" si="2"/>
        <v>029C001011.01</v>
      </c>
    </row>
    <row r="138" spans="1:8" x14ac:dyDescent="0.25">
      <c r="A138">
        <v>69</v>
      </c>
      <c r="B138" t="s">
        <v>125</v>
      </c>
      <c r="C138" t="s">
        <v>124</v>
      </c>
      <c r="D138" t="s">
        <v>988</v>
      </c>
      <c r="E138" t="s">
        <v>989</v>
      </c>
      <c r="F138" t="s">
        <v>990</v>
      </c>
      <c r="G138" t="s">
        <v>619</v>
      </c>
      <c r="H138" t="str">
        <f t="shared" si="2"/>
        <v>029C000947.00</v>
      </c>
    </row>
    <row r="139" spans="1:8" x14ac:dyDescent="0.25">
      <c r="A139">
        <v>69</v>
      </c>
      <c r="B139" t="s">
        <v>125</v>
      </c>
      <c r="C139" t="s">
        <v>124</v>
      </c>
      <c r="D139" t="s">
        <v>988</v>
      </c>
      <c r="E139" t="s">
        <v>989</v>
      </c>
      <c r="F139" t="s">
        <v>990</v>
      </c>
      <c r="G139" t="s">
        <v>619</v>
      </c>
      <c r="H139" t="str">
        <f t="shared" si="2"/>
        <v>029C000947.01</v>
      </c>
    </row>
    <row r="140" spans="1:8" x14ac:dyDescent="0.25">
      <c r="A140">
        <v>70</v>
      </c>
      <c r="B140" t="s">
        <v>380</v>
      </c>
      <c r="C140" t="s">
        <v>379</v>
      </c>
      <c r="D140" t="s">
        <v>988</v>
      </c>
      <c r="E140" t="s">
        <v>989</v>
      </c>
      <c r="F140" t="s">
        <v>990</v>
      </c>
      <c r="G140" t="s">
        <v>384</v>
      </c>
      <c r="H140" t="str">
        <f t="shared" si="2"/>
        <v>029C001599.00</v>
      </c>
    </row>
    <row r="141" spans="1:8" x14ac:dyDescent="0.25">
      <c r="A141">
        <v>70</v>
      </c>
      <c r="B141" t="s">
        <v>380</v>
      </c>
      <c r="C141" t="s">
        <v>379</v>
      </c>
      <c r="D141" t="s">
        <v>988</v>
      </c>
      <c r="E141" t="s">
        <v>989</v>
      </c>
      <c r="F141" t="s">
        <v>990</v>
      </c>
      <c r="G141" t="s">
        <v>384</v>
      </c>
      <c r="H141" t="str">
        <f t="shared" si="2"/>
        <v>029C001599.01</v>
      </c>
    </row>
    <row r="142" spans="1:8" x14ac:dyDescent="0.25">
      <c r="A142">
        <v>71</v>
      </c>
      <c r="B142" t="s">
        <v>643</v>
      </c>
      <c r="C142" t="s">
        <v>642</v>
      </c>
      <c r="D142" t="s">
        <v>988</v>
      </c>
      <c r="E142" t="s">
        <v>989</v>
      </c>
      <c r="F142" t="s">
        <v>990</v>
      </c>
      <c r="G142" t="s">
        <v>621</v>
      </c>
      <c r="H142" t="str">
        <f t="shared" si="2"/>
        <v>029C001765.00</v>
      </c>
    </row>
    <row r="143" spans="1:8" x14ac:dyDescent="0.25">
      <c r="A143">
        <v>71</v>
      </c>
      <c r="B143" t="s">
        <v>643</v>
      </c>
      <c r="C143" t="s">
        <v>642</v>
      </c>
      <c r="D143" t="s">
        <v>988</v>
      </c>
      <c r="E143" t="s">
        <v>989</v>
      </c>
      <c r="F143" t="s">
        <v>990</v>
      </c>
      <c r="G143" t="s">
        <v>621</v>
      </c>
      <c r="H143" t="str">
        <f t="shared" si="2"/>
        <v>029C001765.01</v>
      </c>
    </row>
    <row r="144" spans="1:8" x14ac:dyDescent="0.25">
      <c r="A144">
        <v>72</v>
      </c>
      <c r="B144" t="s">
        <v>862</v>
      </c>
      <c r="C144" t="s">
        <v>861</v>
      </c>
      <c r="D144" t="s">
        <v>988</v>
      </c>
      <c r="E144" t="s">
        <v>989</v>
      </c>
      <c r="F144" t="s">
        <v>990</v>
      </c>
      <c r="G144" t="s">
        <v>621</v>
      </c>
      <c r="H144" t="str">
        <f t="shared" si="2"/>
        <v>029C191204.00</v>
      </c>
    </row>
    <row r="145" spans="1:8" x14ac:dyDescent="0.25">
      <c r="A145">
        <v>72</v>
      </c>
      <c r="B145" t="s">
        <v>862</v>
      </c>
      <c r="C145" t="s">
        <v>861</v>
      </c>
      <c r="D145" t="s">
        <v>988</v>
      </c>
      <c r="E145" t="s">
        <v>989</v>
      </c>
      <c r="F145" t="s">
        <v>990</v>
      </c>
      <c r="G145" t="s">
        <v>621</v>
      </c>
      <c r="H145" t="str">
        <f t="shared" si="2"/>
        <v>029C191204.01</v>
      </c>
    </row>
    <row r="146" spans="1:8" x14ac:dyDescent="0.25">
      <c r="A146">
        <v>73</v>
      </c>
      <c r="B146" t="s">
        <v>88</v>
      </c>
      <c r="C146" t="s">
        <v>87</v>
      </c>
      <c r="D146" t="s">
        <v>988</v>
      </c>
      <c r="E146" t="s">
        <v>989</v>
      </c>
      <c r="F146" t="s">
        <v>990</v>
      </c>
      <c r="G146" t="s">
        <v>83</v>
      </c>
      <c r="H146" t="str">
        <f t="shared" si="2"/>
        <v>029C000589.00</v>
      </c>
    </row>
    <row r="147" spans="1:8" x14ac:dyDescent="0.25">
      <c r="A147">
        <v>73</v>
      </c>
      <c r="B147" t="s">
        <v>88</v>
      </c>
      <c r="C147" t="s">
        <v>87</v>
      </c>
      <c r="D147" t="s">
        <v>988</v>
      </c>
      <c r="E147" t="s">
        <v>989</v>
      </c>
      <c r="F147" t="s">
        <v>990</v>
      </c>
      <c r="G147" t="s">
        <v>83</v>
      </c>
      <c r="H147" t="str">
        <f t="shared" si="2"/>
        <v>029C000589.01</v>
      </c>
    </row>
    <row r="148" spans="1:8" x14ac:dyDescent="0.25">
      <c r="A148">
        <v>74</v>
      </c>
      <c r="B148" t="s">
        <v>885</v>
      </c>
      <c r="C148" t="s">
        <v>884</v>
      </c>
      <c r="D148" t="s">
        <v>988</v>
      </c>
      <c r="E148" t="s">
        <v>989</v>
      </c>
      <c r="F148" t="s">
        <v>990</v>
      </c>
      <c r="G148" t="s">
        <v>621</v>
      </c>
      <c r="H148" t="str">
        <f t="shared" si="2"/>
        <v>029C250906.00</v>
      </c>
    </row>
    <row r="149" spans="1:8" x14ac:dyDescent="0.25">
      <c r="A149">
        <v>74</v>
      </c>
      <c r="B149" t="s">
        <v>885</v>
      </c>
      <c r="C149" t="s">
        <v>884</v>
      </c>
      <c r="D149" t="s">
        <v>988</v>
      </c>
      <c r="E149" t="s">
        <v>989</v>
      </c>
      <c r="F149" t="s">
        <v>990</v>
      </c>
      <c r="G149" t="s">
        <v>621</v>
      </c>
      <c r="H149" t="str">
        <f t="shared" si="2"/>
        <v>029C250906.01</v>
      </c>
    </row>
    <row r="150" spans="1:8" x14ac:dyDescent="0.25">
      <c r="A150">
        <v>75</v>
      </c>
      <c r="B150" t="s">
        <v>842</v>
      </c>
      <c r="C150" t="s">
        <v>841</v>
      </c>
      <c r="D150" t="s">
        <v>988</v>
      </c>
      <c r="E150" t="s">
        <v>989</v>
      </c>
      <c r="F150" t="s">
        <v>990</v>
      </c>
      <c r="G150" t="s">
        <v>540</v>
      </c>
      <c r="H150" t="str">
        <f t="shared" si="2"/>
        <v>029C131207.00</v>
      </c>
    </row>
    <row r="151" spans="1:8" x14ac:dyDescent="0.25">
      <c r="A151">
        <v>75</v>
      </c>
      <c r="B151" t="s">
        <v>842</v>
      </c>
      <c r="C151" t="s">
        <v>841</v>
      </c>
      <c r="D151" t="s">
        <v>988</v>
      </c>
      <c r="E151" t="s">
        <v>989</v>
      </c>
      <c r="F151" t="s">
        <v>990</v>
      </c>
      <c r="G151" t="s">
        <v>540</v>
      </c>
      <c r="H151" t="str">
        <f t="shared" si="2"/>
        <v>029C131207.01</v>
      </c>
    </row>
    <row r="152" spans="1:8" x14ac:dyDescent="0.25">
      <c r="A152">
        <v>76</v>
      </c>
      <c r="B152" t="s">
        <v>70</v>
      </c>
      <c r="C152" t="s">
        <v>69</v>
      </c>
      <c r="D152" t="s">
        <v>988</v>
      </c>
      <c r="E152" t="s">
        <v>989</v>
      </c>
      <c r="F152" t="s">
        <v>990</v>
      </c>
      <c r="H152" t="str">
        <f t="shared" si="2"/>
        <v>029C001009.00</v>
      </c>
    </row>
    <row r="153" spans="1:8" x14ac:dyDescent="0.25">
      <c r="A153">
        <v>76</v>
      </c>
      <c r="B153" t="s">
        <v>70</v>
      </c>
      <c r="C153" t="s">
        <v>69</v>
      </c>
      <c r="D153" t="s">
        <v>988</v>
      </c>
      <c r="E153" t="s">
        <v>989</v>
      </c>
      <c r="F153" t="s">
        <v>990</v>
      </c>
      <c r="H153" t="str">
        <f t="shared" si="2"/>
        <v>029C001009.01</v>
      </c>
    </row>
    <row r="154" spans="1:8" x14ac:dyDescent="0.25">
      <c r="A154">
        <v>77</v>
      </c>
      <c r="B154" t="s">
        <v>741</v>
      </c>
      <c r="C154" t="s">
        <v>740</v>
      </c>
      <c r="D154" t="s">
        <v>988</v>
      </c>
      <c r="E154" t="s">
        <v>989</v>
      </c>
      <c r="F154" t="s">
        <v>990</v>
      </c>
      <c r="G154" t="s">
        <v>713</v>
      </c>
      <c r="H154" t="str">
        <f t="shared" si="2"/>
        <v>029C002341.00</v>
      </c>
    </row>
    <row r="155" spans="1:8" x14ac:dyDescent="0.25">
      <c r="A155">
        <v>77</v>
      </c>
      <c r="B155" t="s">
        <v>741</v>
      </c>
      <c r="C155" t="s">
        <v>740</v>
      </c>
      <c r="D155" t="s">
        <v>988</v>
      </c>
      <c r="E155" t="s">
        <v>989</v>
      </c>
      <c r="F155" t="s">
        <v>990</v>
      </c>
      <c r="G155" t="s">
        <v>713</v>
      </c>
      <c r="H155" t="str">
        <f t="shared" si="2"/>
        <v>029C002341.01</v>
      </c>
    </row>
    <row r="156" spans="1:8" x14ac:dyDescent="0.25">
      <c r="A156">
        <v>78</v>
      </c>
      <c r="B156" t="s">
        <v>288</v>
      </c>
      <c r="C156" t="s">
        <v>287</v>
      </c>
      <c r="D156" t="s">
        <v>988</v>
      </c>
      <c r="E156" t="s">
        <v>989</v>
      </c>
      <c r="F156" t="s">
        <v>990</v>
      </c>
      <c r="G156" t="s">
        <v>224</v>
      </c>
      <c r="H156" t="str">
        <f t="shared" si="2"/>
        <v>029C001997.00</v>
      </c>
    </row>
    <row r="157" spans="1:8" x14ac:dyDescent="0.25">
      <c r="A157">
        <v>78</v>
      </c>
      <c r="B157" t="s">
        <v>288</v>
      </c>
      <c r="C157" t="s">
        <v>287</v>
      </c>
      <c r="D157" t="s">
        <v>988</v>
      </c>
      <c r="E157" t="s">
        <v>989</v>
      </c>
      <c r="F157" t="s">
        <v>990</v>
      </c>
      <c r="G157" t="s">
        <v>224</v>
      </c>
      <c r="H157" t="str">
        <f t="shared" si="2"/>
        <v>029C001997.01</v>
      </c>
    </row>
    <row r="158" spans="1:8" x14ac:dyDescent="0.25">
      <c r="A158">
        <v>79</v>
      </c>
      <c r="B158" t="s">
        <v>396</v>
      </c>
      <c r="C158" t="s">
        <v>395</v>
      </c>
      <c r="D158" t="s">
        <v>988</v>
      </c>
      <c r="E158" t="s">
        <v>989</v>
      </c>
      <c r="F158" t="s">
        <v>990</v>
      </c>
      <c r="G158" t="s">
        <v>384</v>
      </c>
      <c r="H158" t="str">
        <f t="shared" si="2"/>
        <v>029C001569.00</v>
      </c>
    </row>
    <row r="159" spans="1:8" x14ac:dyDescent="0.25">
      <c r="A159">
        <v>79</v>
      </c>
      <c r="B159" t="s">
        <v>396</v>
      </c>
      <c r="C159" t="s">
        <v>395</v>
      </c>
      <c r="D159" t="s">
        <v>988</v>
      </c>
      <c r="E159" t="s">
        <v>989</v>
      </c>
      <c r="F159" t="s">
        <v>990</v>
      </c>
      <c r="G159" t="s">
        <v>384</v>
      </c>
      <c r="H159" t="str">
        <f t="shared" si="2"/>
        <v>029C001569.01</v>
      </c>
    </row>
    <row r="160" spans="1:8" x14ac:dyDescent="0.25">
      <c r="A160">
        <v>80</v>
      </c>
      <c r="B160" t="s">
        <v>637</v>
      </c>
      <c r="C160" t="s">
        <v>636</v>
      </c>
      <c r="D160" t="s">
        <v>988</v>
      </c>
      <c r="E160" t="s">
        <v>989</v>
      </c>
      <c r="F160" t="s">
        <v>990</v>
      </c>
      <c r="G160" t="s">
        <v>621</v>
      </c>
      <c r="H160" t="str">
        <f t="shared" si="2"/>
        <v>029C001761.00</v>
      </c>
    </row>
    <row r="161" spans="1:8" x14ac:dyDescent="0.25">
      <c r="A161">
        <v>80</v>
      </c>
      <c r="B161" t="s">
        <v>637</v>
      </c>
      <c r="C161" t="s">
        <v>636</v>
      </c>
      <c r="D161" t="s">
        <v>988</v>
      </c>
      <c r="E161" t="s">
        <v>989</v>
      </c>
      <c r="F161" t="s">
        <v>990</v>
      </c>
      <c r="G161" t="s">
        <v>621</v>
      </c>
      <c r="H161" t="str">
        <f t="shared" si="2"/>
        <v>029C001761.01</v>
      </c>
    </row>
    <row r="162" spans="1:8" x14ac:dyDescent="0.25">
      <c r="A162">
        <v>81</v>
      </c>
      <c r="B162" t="s">
        <v>290</v>
      </c>
      <c r="C162" t="s">
        <v>289</v>
      </c>
      <c r="D162" t="s">
        <v>988</v>
      </c>
      <c r="E162" t="s">
        <v>989</v>
      </c>
      <c r="F162" t="s">
        <v>990</v>
      </c>
      <c r="G162" t="s">
        <v>224</v>
      </c>
      <c r="H162" t="str">
        <f t="shared" si="2"/>
        <v>029C461989.00</v>
      </c>
    </row>
    <row r="163" spans="1:8" x14ac:dyDescent="0.25">
      <c r="A163">
        <v>81</v>
      </c>
      <c r="B163" t="s">
        <v>290</v>
      </c>
      <c r="C163" t="s">
        <v>289</v>
      </c>
      <c r="D163" t="s">
        <v>988</v>
      </c>
      <c r="E163" t="s">
        <v>989</v>
      </c>
      <c r="F163" t="s">
        <v>990</v>
      </c>
      <c r="G163" t="s">
        <v>224</v>
      </c>
      <c r="H163" t="str">
        <f t="shared" si="2"/>
        <v>029C461989.01</v>
      </c>
    </row>
    <row r="164" spans="1:8" x14ac:dyDescent="0.25">
      <c r="A164">
        <v>82</v>
      </c>
      <c r="B164" t="s">
        <v>799</v>
      </c>
      <c r="C164" t="s">
        <v>798</v>
      </c>
      <c r="D164" t="s">
        <v>988</v>
      </c>
      <c r="E164" t="s">
        <v>989</v>
      </c>
      <c r="F164" t="s">
        <v>990</v>
      </c>
      <c r="G164" t="s">
        <v>224</v>
      </c>
      <c r="H164" t="str">
        <f t="shared" si="2"/>
        <v>029C003740.00</v>
      </c>
    </row>
    <row r="165" spans="1:8" x14ac:dyDescent="0.25">
      <c r="A165">
        <v>82</v>
      </c>
      <c r="B165" t="s">
        <v>799</v>
      </c>
      <c r="C165" t="s">
        <v>798</v>
      </c>
      <c r="D165" t="s">
        <v>988</v>
      </c>
      <c r="E165" t="s">
        <v>989</v>
      </c>
      <c r="F165" t="s">
        <v>990</v>
      </c>
      <c r="G165" t="s">
        <v>224</v>
      </c>
      <c r="H165" t="str">
        <f t="shared" si="2"/>
        <v>029C003740.01</v>
      </c>
    </row>
    <row r="166" spans="1:8" x14ac:dyDescent="0.25">
      <c r="A166">
        <v>83</v>
      </c>
      <c r="B166" t="s">
        <v>292</v>
      </c>
      <c r="C166" t="s">
        <v>291</v>
      </c>
      <c r="D166" t="s">
        <v>988</v>
      </c>
      <c r="E166" t="s">
        <v>989</v>
      </c>
      <c r="F166" t="s">
        <v>990</v>
      </c>
      <c r="G166" t="s">
        <v>224</v>
      </c>
      <c r="H166" t="str">
        <f t="shared" si="2"/>
        <v>029C001888.00</v>
      </c>
    </row>
    <row r="167" spans="1:8" x14ac:dyDescent="0.25">
      <c r="A167">
        <v>83</v>
      </c>
      <c r="B167" t="s">
        <v>292</v>
      </c>
      <c r="C167" t="s">
        <v>291</v>
      </c>
      <c r="D167" t="s">
        <v>988</v>
      </c>
      <c r="E167" t="s">
        <v>989</v>
      </c>
      <c r="F167" t="s">
        <v>990</v>
      </c>
      <c r="G167" t="s">
        <v>224</v>
      </c>
      <c r="H167" t="str">
        <f t="shared" si="2"/>
        <v>029C001888.01</v>
      </c>
    </row>
    <row r="168" spans="1:8" x14ac:dyDescent="0.25">
      <c r="A168">
        <v>84</v>
      </c>
      <c r="B168" t="s">
        <v>868</v>
      </c>
      <c r="C168" t="s">
        <v>867</v>
      </c>
      <c r="D168" t="s">
        <v>988</v>
      </c>
      <c r="E168" t="s">
        <v>989</v>
      </c>
      <c r="F168" t="s">
        <v>990</v>
      </c>
      <c r="G168" t="s">
        <v>713</v>
      </c>
      <c r="H168" t="str">
        <f t="shared" si="2"/>
        <v>029C212229.00</v>
      </c>
    </row>
    <row r="169" spans="1:8" x14ac:dyDescent="0.25">
      <c r="A169">
        <v>84</v>
      </c>
      <c r="B169" t="s">
        <v>868</v>
      </c>
      <c r="C169" t="s">
        <v>867</v>
      </c>
      <c r="D169" t="s">
        <v>988</v>
      </c>
      <c r="E169" t="s">
        <v>989</v>
      </c>
      <c r="F169" t="s">
        <v>990</v>
      </c>
      <c r="G169" t="s">
        <v>713</v>
      </c>
      <c r="H169" t="str">
        <f t="shared" si="2"/>
        <v>029C212229.01</v>
      </c>
    </row>
    <row r="170" spans="1:8" x14ac:dyDescent="0.25">
      <c r="A170">
        <v>85</v>
      </c>
      <c r="B170" t="s">
        <v>647</v>
      </c>
      <c r="C170" t="s">
        <v>646</v>
      </c>
      <c r="D170" t="s">
        <v>988</v>
      </c>
      <c r="E170" t="s">
        <v>989</v>
      </c>
      <c r="F170" t="s">
        <v>990</v>
      </c>
      <c r="G170" t="s">
        <v>621</v>
      </c>
      <c r="H170" t="str">
        <f t="shared" si="2"/>
        <v>029C001791.00</v>
      </c>
    </row>
    <row r="171" spans="1:8" x14ac:dyDescent="0.25">
      <c r="A171">
        <v>85</v>
      </c>
      <c r="B171" t="s">
        <v>647</v>
      </c>
      <c r="C171" t="s">
        <v>646</v>
      </c>
      <c r="D171" t="s">
        <v>988</v>
      </c>
      <c r="E171" t="s">
        <v>989</v>
      </c>
      <c r="F171" t="s">
        <v>990</v>
      </c>
      <c r="G171" t="s">
        <v>621</v>
      </c>
      <c r="H171" t="str">
        <f t="shared" si="2"/>
        <v>029C001791.01</v>
      </c>
    </row>
    <row r="172" spans="1:8" x14ac:dyDescent="0.25">
      <c r="A172">
        <v>86</v>
      </c>
      <c r="B172" t="s">
        <v>32</v>
      </c>
      <c r="C172" t="s">
        <v>31</v>
      </c>
      <c r="D172" t="s">
        <v>988</v>
      </c>
      <c r="E172" t="s">
        <v>989</v>
      </c>
      <c r="F172" t="s">
        <v>990</v>
      </c>
      <c r="H172" t="str">
        <f t="shared" si="2"/>
        <v>029C001822.00</v>
      </c>
    </row>
    <row r="173" spans="1:8" x14ac:dyDescent="0.25">
      <c r="A173">
        <v>86</v>
      </c>
      <c r="B173" t="s">
        <v>32</v>
      </c>
      <c r="C173" t="s">
        <v>31</v>
      </c>
      <c r="D173" t="s">
        <v>988</v>
      </c>
      <c r="E173" t="s">
        <v>989</v>
      </c>
      <c r="F173" t="s">
        <v>990</v>
      </c>
      <c r="H173" t="str">
        <f t="shared" si="2"/>
        <v>029C001822.01</v>
      </c>
    </row>
    <row r="174" spans="1:8" x14ac:dyDescent="0.25">
      <c r="A174">
        <v>87</v>
      </c>
      <c r="B174" t="s">
        <v>872</v>
      </c>
      <c r="C174" t="s">
        <v>871</v>
      </c>
      <c r="D174" t="s">
        <v>988</v>
      </c>
      <c r="E174" t="s">
        <v>989</v>
      </c>
      <c r="F174" t="s">
        <v>990</v>
      </c>
      <c r="G174" t="s">
        <v>621</v>
      </c>
      <c r="H174" t="str">
        <f t="shared" si="2"/>
        <v>029C220305.00</v>
      </c>
    </row>
    <row r="175" spans="1:8" x14ac:dyDescent="0.25">
      <c r="A175">
        <v>87</v>
      </c>
      <c r="B175" t="s">
        <v>872</v>
      </c>
      <c r="C175" t="s">
        <v>871</v>
      </c>
      <c r="D175" t="s">
        <v>988</v>
      </c>
      <c r="E175" t="s">
        <v>989</v>
      </c>
      <c r="F175" t="s">
        <v>990</v>
      </c>
      <c r="G175" t="s">
        <v>621</v>
      </c>
      <c r="H175" t="str">
        <f t="shared" si="2"/>
        <v>029C220305.01</v>
      </c>
    </row>
    <row r="176" spans="1:8" x14ac:dyDescent="0.25">
      <c r="A176">
        <v>88</v>
      </c>
      <c r="B176" t="s">
        <v>735</v>
      </c>
      <c r="C176" t="s">
        <v>734</v>
      </c>
      <c r="D176" t="s">
        <v>988</v>
      </c>
      <c r="E176" t="s">
        <v>989</v>
      </c>
      <c r="F176" t="s">
        <v>990</v>
      </c>
      <c r="G176" t="s">
        <v>713</v>
      </c>
      <c r="H176" t="str">
        <f t="shared" si="2"/>
        <v>029C002336.00</v>
      </c>
    </row>
    <row r="177" spans="1:8" x14ac:dyDescent="0.25">
      <c r="A177">
        <v>88</v>
      </c>
      <c r="B177" t="s">
        <v>735</v>
      </c>
      <c r="C177" t="s">
        <v>734</v>
      </c>
      <c r="D177" t="s">
        <v>988</v>
      </c>
      <c r="E177" t="s">
        <v>989</v>
      </c>
      <c r="F177" t="s">
        <v>990</v>
      </c>
      <c r="G177" t="s">
        <v>713</v>
      </c>
      <c r="H177" t="str">
        <f t="shared" si="2"/>
        <v>029C002336.01</v>
      </c>
    </row>
    <row r="178" spans="1:8" x14ac:dyDescent="0.25">
      <c r="A178">
        <v>89</v>
      </c>
      <c r="B178" t="s">
        <v>878</v>
      </c>
      <c r="C178" t="s">
        <v>877</v>
      </c>
      <c r="D178" t="s">
        <v>988</v>
      </c>
      <c r="E178" t="s">
        <v>989</v>
      </c>
      <c r="F178" t="s">
        <v>990</v>
      </c>
      <c r="G178" t="s">
        <v>621</v>
      </c>
      <c r="H178" t="str">
        <f t="shared" si="2"/>
        <v>029C231889.00</v>
      </c>
    </row>
    <row r="179" spans="1:8" x14ac:dyDescent="0.25">
      <c r="A179">
        <v>89</v>
      </c>
      <c r="B179" t="s">
        <v>878</v>
      </c>
      <c r="C179" t="s">
        <v>877</v>
      </c>
      <c r="D179" t="s">
        <v>988</v>
      </c>
      <c r="E179" t="s">
        <v>989</v>
      </c>
      <c r="F179" t="s">
        <v>990</v>
      </c>
      <c r="G179" t="s">
        <v>621</v>
      </c>
      <c r="H179" t="str">
        <f t="shared" si="2"/>
        <v>029C231889.01</v>
      </c>
    </row>
    <row r="180" spans="1:8" x14ac:dyDescent="0.25">
      <c r="A180">
        <v>90</v>
      </c>
      <c r="B180" t="s">
        <v>659</v>
      </c>
      <c r="C180" t="s">
        <v>658</v>
      </c>
      <c r="D180" t="s">
        <v>988</v>
      </c>
      <c r="E180" t="s">
        <v>989</v>
      </c>
      <c r="F180" t="s">
        <v>990</v>
      </c>
      <c r="G180" t="s">
        <v>621</v>
      </c>
      <c r="H180" t="str">
        <f t="shared" si="2"/>
        <v>029C001878.00</v>
      </c>
    </row>
    <row r="181" spans="1:8" x14ac:dyDescent="0.25">
      <c r="A181">
        <v>90</v>
      </c>
      <c r="B181" t="s">
        <v>659</v>
      </c>
      <c r="C181" t="s">
        <v>658</v>
      </c>
      <c r="D181" t="s">
        <v>988</v>
      </c>
      <c r="E181" t="s">
        <v>989</v>
      </c>
      <c r="F181" t="s">
        <v>990</v>
      </c>
      <c r="G181" t="s">
        <v>621</v>
      </c>
      <c r="H181" t="str">
        <f t="shared" si="2"/>
        <v>029C001878.01</v>
      </c>
    </row>
    <row r="182" spans="1:8" x14ac:dyDescent="0.25">
      <c r="A182">
        <v>91</v>
      </c>
      <c r="B182" t="s">
        <v>698</v>
      </c>
      <c r="C182" t="s">
        <v>697</v>
      </c>
      <c r="D182" t="s">
        <v>988</v>
      </c>
      <c r="E182" t="s">
        <v>989</v>
      </c>
      <c r="F182" t="s">
        <v>990</v>
      </c>
      <c r="G182" t="s">
        <v>621</v>
      </c>
      <c r="H182" t="str">
        <f t="shared" si="2"/>
        <v>029C002138.00</v>
      </c>
    </row>
    <row r="183" spans="1:8" x14ac:dyDescent="0.25">
      <c r="A183">
        <v>91</v>
      </c>
      <c r="B183" t="s">
        <v>698</v>
      </c>
      <c r="C183" t="s">
        <v>697</v>
      </c>
      <c r="D183" t="s">
        <v>988</v>
      </c>
      <c r="E183" t="s">
        <v>989</v>
      </c>
      <c r="F183" t="s">
        <v>990</v>
      </c>
      <c r="G183" t="s">
        <v>621</v>
      </c>
      <c r="H183" t="str">
        <f t="shared" si="2"/>
        <v>029C002138.01</v>
      </c>
    </row>
    <row r="184" spans="1:8" x14ac:dyDescent="0.25">
      <c r="A184">
        <v>92</v>
      </c>
      <c r="B184" t="s">
        <v>721</v>
      </c>
      <c r="C184" t="s">
        <v>720</v>
      </c>
      <c r="D184" t="s">
        <v>988</v>
      </c>
      <c r="E184" t="s">
        <v>989</v>
      </c>
      <c r="F184" t="s">
        <v>990</v>
      </c>
      <c r="G184" t="s">
        <v>713</v>
      </c>
      <c r="H184" t="str">
        <f t="shared" si="2"/>
        <v>029C002323.00</v>
      </c>
    </row>
    <row r="185" spans="1:8" x14ac:dyDescent="0.25">
      <c r="A185">
        <v>92</v>
      </c>
      <c r="B185" t="s">
        <v>721</v>
      </c>
      <c r="C185" t="s">
        <v>720</v>
      </c>
      <c r="D185" t="s">
        <v>988</v>
      </c>
      <c r="E185" t="s">
        <v>989</v>
      </c>
      <c r="F185" t="s">
        <v>990</v>
      </c>
      <c r="G185" t="s">
        <v>713</v>
      </c>
      <c r="H185" t="str">
        <f t="shared" si="2"/>
        <v>029C002323.01</v>
      </c>
    </row>
    <row r="186" spans="1:8" x14ac:dyDescent="0.25">
      <c r="A186">
        <v>93</v>
      </c>
      <c r="B186" t="s">
        <v>262</v>
      </c>
      <c r="C186" t="s">
        <v>261</v>
      </c>
      <c r="D186" t="s">
        <v>988</v>
      </c>
      <c r="E186" t="s">
        <v>989</v>
      </c>
      <c r="F186" t="s">
        <v>990</v>
      </c>
      <c r="G186" t="s">
        <v>224</v>
      </c>
      <c r="H186" t="str">
        <f t="shared" si="2"/>
        <v>029C001211.00</v>
      </c>
    </row>
    <row r="187" spans="1:8" x14ac:dyDescent="0.25">
      <c r="A187">
        <v>93</v>
      </c>
      <c r="B187" t="s">
        <v>262</v>
      </c>
      <c r="C187" t="s">
        <v>261</v>
      </c>
      <c r="D187" t="s">
        <v>988</v>
      </c>
      <c r="E187" t="s">
        <v>989</v>
      </c>
      <c r="F187" t="s">
        <v>990</v>
      </c>
      <c r="G187" t="s">
        <v>224</v>
      </c>
      <c r="H187" t="str">
        <f t="shared" si="2"/>
        <v>029C001211.01</v>
      </c>
    </row>
    <row r="188" spans="1:8" x14ac:dyDescent="0.25">
      <c r="A188">
        <v>94</v>
      </c>
      <c r="B188" t="s">
        <v>895</v>
      </c>
      <c r="C188" t="s">
        <v>894</v>
      </c>
      <c r="D188" t="s">
        <v>988</v>
      </c>
      <c r="E188" t="s">
        <v>989</v>
      </c>
      <c r="F188" t="s">
        <v>990</v>
      </c>
      <c r="G188" t="s">
        <v>224</v>
      </c>
      <c r="H188" t="str">
        <f t="shared" si="2"/>
        <v>029C281106.00</v>
      </c>
    </row>
    <row r="189" spans="1:8" x14ac:dyDescent="0.25">
      <c r="A189">
        <v>94</v>
      </c>
      <c r="B189" t="s">
        <v>895</v>
      </c>
      <c r="C189" t="s">
        <v>894</v>
      </c>
      <c r="D189" t="s">
        <v>988</v>
      </c>
      <c r="E189" t="s">
        <v>989</v>
      </c>
      <c r="F189" t="s">
        <v>990</v>
      </c>
      <c r="G189" t="s">
        <v>224</v>
      </c>
      <c r="H189" t="str">
        <f t="shared" si="2"/>
        <v>029C281106.01</v>
      </c>
    </row>
    <row r="190" spans="1:8" x14ac:dyDescent="0.25">
      <c r="A190">
        <v>95</v>
      </c>
      <c r="B190" t="s">
        <v>183</v>
      </c>
      <c r="C190" t="s">
        <v>182</v>
      </c>
      <c r="D190" t="s">
        <v>988</v>
      </c>
      <c r="E190" t="s">
        <v>989</v>
      </c>
      <c r="F190" t="s">
        <v>990</v>
      </c>
      <c r="G190" t="s">
        <v>162</v>
      </c>
      <c r="H190" t="str">
        <f t="shared" si="2"/>
        <v>029C001847.00</v>
      </c>
    </row>
    <row r="191" spans="1:8" x14ac:dyDescent="0.25">
      <c r="A191">
        <v>95</v>
      </c>
      <c r="B191" t="s">
        <v>183</v>
      </c>
      <c r="C191" t="s">
        <v>182</v>
      </c>
      <c r="D191" t="s">
        <v>988</v>
      </c>
      <c r="E191" t="s">
        <v>989</v>
      </c>
      <c r="F191" t="s">
        <v>990</v>
      </c>
      <c r="G191" t="s">
        <v>162</v>
      </c>
      <c r="H191" t="str">
        <f t="shared" si="2"/>
        <v>029C001847.01</v>
      </c>
    </row>
    <row r="192" spans="1:8" x14ac:dyDescent="0.25">
      <c r="A192">
        <v>96</v>
      </c>
      <c r="B192" t="s">
        <v>183</v>
      </c>
      <c r="C192" t="s">
        <v>284</v>
      </c>
      <c r="D192" t="s">
        <v>988</v>
      </c>
      <c r="E192" t="s">
        <v>989</v>
      </c>
      <c r="F192" t="s">
        <v>990</v>
      </c>
      <c r="G192" t="s">
        <v>224</v>
      </c>
      <c r="H192" t="str">
        <f t="shared" si="2"/>
        <v>029C001993.00</v>
      </c>
    </row>
    <row r="193" spans="1:8" x14ac:dyDescent="0.25">
      <c r="A193">
        <v>96</v>
      </c>
      <c r="B193" t="s">
        <v>183</v>
      </c>
      <c r="C193" t="s">
        <v>284</v>
      </c>
      <c r="D193" t="s">
        <v>988</v>
      </c>
      <c r="E193" t="s">
        <v>989</v>
      </c>
      <c r="F193" t="s">
        <v>990</v>
      </c>
      <c r="G193" t="s">
        <v>224</v>
      </c>
      <c r="H193" t="str">
        <f t="shared" si="2"/>
        <v>029C001993.01</v>
      </c>
    </row>
    <row r="194" spans="1:8" x14ac:dyDescent="0.25">
      <c r="A194">
        <v>97</v>
      </c>
      <c r="B194" t="s">
        <v>696</v>
      </c>
      <c r="C194" t="s">
        <v>695</v>
      </c>
      <c r="D194" t="s">
        <v>988</v>
      </c>
      <c r="E194" t="s">
        <v>989</v>
      </c>
      <c r="F194" t="s">
        <v>990</v>
      </c>
      <c r="G194" t="s">
        <v>621</v>
      </c>
      <c r="H194" t="str">
        <f t="shared" ref="H194:H257" si="3">C194&amp;IF(MOD(ROW(),2)=0,".00",".01")</f>
        <v>029C002114.00</v>
      </c>
    </row>
    <row r="195" spans="1:8" x14ac:dyDescent="0.25">
      <c r="A195">
        <v>97</v>
      </c>
      <c r="B195" t="s">
        <v>696</v>
      </c>
      <c r="C195" t="s">
        <v>695</v>
      </c>
      <c r="D195" t="s">
        <v>988</v>
      </c>
      <c r="E195" t="s">
        <v>989</v>
      </c>
      <c r="F195" t="s">
        <v>990</v>
      </c>
      <c r="G195" t="s">
        <v>621</v>
      </c>
      <c r="H195" t="str">
        <f t="shared" si="3"/>
        <v>029C002114.01</v>
      </c>
    </row>
    <row r="196" spans="1:8" x14ac:dyDescent="0.25">
      <c r="A196">
        <v>98</v>
      </c>
      <c r="B196" t="s">
        <v>286</v>
      </c>
      <c r="C196" t="s">
        <v>285</v>
      </c>
      <c r="D196" t="s">
        <v>988</v>
      </c>
      <c r="E196" t="s">
        <v>989</v>
      </c>
      <c r="F196" t="s">
        <v>990</v>
      </c>
      <c r="G196" t="s">
        <v>224</v>
      </c>
      <c r="H196" t="str">
        <f t="shared" si="3"/>
        <v>029C001991.00</v>
      </c>
    </row>
    <row r="197" spans="1:8" x14ac:dyDescent="0.25">
      <c r="A197">
        <v>98</v>
      </c>
      <c r="B197" t="s">
        <v>286</v>
      </c>
      <c r="C197" t="s">
        <v>285</v>
      </c>
      <c r="D197" t="s">
        <v>988</v>
      </c>
      <c r="E197" t="s">
        <v>989</v>
      </c>
      <c r="F197" t="s">
        <v>990</v>
      </c>
      <c r="G197" t="s">
        <v>224</v>
      </c>
      <c r="H197" t="str">
        <f t="shared" si="3"/>
        <v>029C001991.01</v>
      </c>
    </row>
    <row r="198" spans="1:8" x14ac:dyDescent="0.25">
      <c r="A198">
        <v>99</v>
      </c>
      <c r="B198" t="s">
        <v>707</v>
      </c>
      <c r="C198" t="s">
        <v>706</v>
      </c>
      <c r="D198" t="s">
        <v>988</v>
      </c>
      <c r="E198" t="s">
        <v>989</v>
      </c>
      <c r="F198" t="s">
        <v>990</v>
      </c>
      <c r="G198" t="s">
        <v>621</v>
      </c>
      <c r="H198" t="str">
        <f t="shared" si="3"/>
        <v>029C002277.00</v>
      </c>
    </row>
    <row r="199" spans="1:8" x14ac:dyDescent="0.25">
      <c r="A199">
        <v>99</v>
      </c>
      <c r="B199" t="s">
        <v>707</v>
      </c>
      <c r="C199" t="s">
        <v>706</v>
      </c>
      <c r="D199" t="s">
        <v>988</v>
      </c>
      <c r="E199" t="s">
        <v>989</v>
      </c>
      <c r="F199" t="s">
        <v>990</v>
      </c>
      <c r="G199" t="s">
        <v>621</v>
      </c>
      <c r="H199" t="str">
        <f t="shared" si="3"/>
        <v>029C002277.01</v>
      </c>
    </row>
    <row r="200" spans="1:8" x14ac:dyDescent="0.25">
      <c r="A200">
        <v>100</v>
      </c>
      <c r="B200" t="s">
        <v>797</v>
      </c>
      <c r="C200" t="s">
        <v>796</v>
      </c>
      <c r="D200" t="s">
        <v>988</v>
      </c>
      <c r="E200" t="s">
        <v>989</v>
      </c>
      <c r="F200" t="s">
        <v>990</v>
      </c>
      <c r="G200" t="s">
        <v>224</v>
      </c>
      <c r="H200" t="str">
        <f t="shared" si="3"/>
        <v>029C003739.00</v>
      </c>
    </row>
    <row r="201" spans="1:8" x14ac:dyDescent="0.25">
      <c r="A201">
        <v>100</v>
      </c>
      <c r="B201" t="s">
        <v>797</v>
      </c>
      <c r="C201" t="s">
        <v>796</v>
      </c>
      <c r="D201" t="s">
        <v>988</v>
      </c>
      <c r="E201" t="s">
        <v>989</v>
      </c>
      <c r="F201" t="s">
        <v>990</v>
      </c>
      <c r="G201" t="s">
        <v>224</v>
      </c>
      <c r="H201" t="str">
        <f t="shared" si="3"/>
        <v>029C003739.01</v>
      </c>
    </row>
    <row r="202" spans="1:8" x14ac:dyDescent="0.25">
      <c r="A202">
        <v>101</v>
      </c>
      <c r="B202" t="s">
        <v>100</v>
      </c>
      <c r="C202" t="s">
        <v>99</v>
      </c>
      <c r="D202" t="s">
        <v>988</v>
      </c>
      <c r="E202" t="s">
        <v>989</v>
      </c>
      <c r="F202" t="s">
        <v>990</v>
      </c>
      <c r="G202" t="s">
        <v>83</v>
      </c>
      <c r="H202" t="str">
        <f t="shared" si="3"/>
        <v>029C005786.00</v>
      </c>
    </row>
    <row r="203" spans="1:8" x14ac:dyDescent="0.25">
      <c r="A203">
        <v>101</v>
      </c>
      <c r="B203" t="s">
        <v>100</v>
      </c>
      <c r="C203" t="s">
        <v>99</v>
      </c>
      <c r="D203" t="s">
        <v>988</v>
      </c>
      <c r="E203" t="s">
        <v>989</v>
      </c>
      <c r="F203" t="s">
        <v>990</v>
      </c>
      <c r="G203" t="s">
        <v>83</v>
      </c>
      <c r="H203" t="str">
        <f t="shared" si="3"/>
        <v>029C005786.01</v>
      </c>
    </row>
    <row r="204" spans="1:8" x14ac:dyDescent="0.25">
      <c r="A204">
        <v>102</v>
      </c>
      <c r="B204" t="s">
        <v>830</v>
      </c>
      <c r="C204" t="s">
        <v>829</v>
      </c>
      <c r="D204" t="s">
        <v>988</v>
      </c>
      <c r="E204" t="s">
        <v>989</v>
      </c>
      <c r="F204" t="s">
        <v>990</v>
      </c>
      <c r="G204" t="s">
        <v>713</v>
      </c>
      <c r="H204" t="str">
        <f t="shared" si="3"/>
        <v>029C081206.00</v>
      </c>
    </row>
    <row r="205" spans="1:8" x14ac:dyDescent="0.25">
      <c r="A205">
        <v>102</v>
      </c>
      <c r="B205" t="s">
        <v>830</v>
      </c>
      <c r="C205" t="s">
        <v>829</v>
      </c>
      <c r="D205" t="s">
        <v>988</v>
      </c>
      <c r="E205" t="s">
        <v>989</v>
      </c>
      <c r="F205" t="s">
        <v>990</v>
      </c>
      <c r="G205" t="s">
        <v>713</v>
      </c>
      <c r="H205" t="str">
        <f t="shared" si="3"/>
        <v>029C081206.01</v>
      </c>
    </row>
    <row r="206" spans="1:8" x14ac:dyDescent="0.25">
      <c r="A206">
        <v>103</v>
      </c>
      <c r="B206" t="s">
        <v>240</v>
      </c>
      <c r="C206" t="s">
        <v>239</v>
      </c>
      <c r="D206" t="s">
        <v>988</v>
      </c>
      <c r="E206" t="s">
        <v>989</v>
      </c>
      <c r="F206" t="s">
        <v>990</v>
      </c>
      <c r="G206" t="s">
        <v>224</v>
      </c>
      <c r="H206" t="str">
        <f t="shared" si="3"/>
        <v>029C001216.00</v>
      </c>
    </row>
    <row r="207" spans="1:8" x14ac:dyDescent="0.25">
      <c r="A207">
        <v>103</v>
      </c>
      <c r="B207" t="s">
        <v>240</v>
      </c>
      <c r="C207" t="s">
        <v>239</v>
      </c>
      <c r="D207" t="s">
        <v>988</v>
      </c>
      <c r="E207" t="s">
        <v>989</v>
      </c>
      <c r="F207" t="s">
        <v>990</v>
      </c>
      <c r="G207" t="s">
        <v>224</v>
      </c>
      <c r="H207" t="str">
        <f t="shared" si="3"/>
        <v>029C001216.01</v>
      </c>
    </row>
    <row r="208" spans="1:8" x14ac:dyDescent="0.25">
      <c r="A208">
        <v>104</v>
      </c>
      <c r="B208" t="s">
        <v>681</v>
      </c>
      <c r="C208" t="s">
        <v>680</v>
      </c>
      <c r="D208" t="s">
        <v>988</v>
      </c>
      <c r="E208" t="s">
        <v>989</v>
      </c>
      <c r="F208" t="s">
        <v>990</v>
      </c>
      <c r="G208" t="s">
        <v>621</v>
      </c>
      <c r="H208" t="str">
        <f t="shared" si="3"/>
        <v>029C002007.00</v>
      </c>
    </row>
    <row r="209" spans="1:8" x14ac:dyDescent="0.25">
      <c r="A209">
        <v>104</v>
      </c>
      <c r="B209" t="s">
        <v>681</v>
      </c>
      <c r="C209" t="s">
        <v>680</v>
      </c>
      <c r="D209" t="s">
        <v>988</v>
      </c>
      <c r="E209" t="s">
        <v>989</v>
      </c>
      <c r="F209" t="s">
        <v>990</v>
      </c>
      <c r="G209" t="s">
        <v>621</v>
      </c>
      <c r="H209" t="str">
        <f t="shared" si="3"/>
        <v>029C002007.01</v>
      </c>
    </row>
    <row r="210" spans="1:8" x14ac:dyDescent="0.25">
      <c r="A210">
        <v>105</v>
      </c>
      <c r="B210" t="s">
        <v>81</v>
      </c>
      <c r="C210" t="s">
        <v>82</v>
      </c>
      <c r="D210" t="s">
        <v>988</v>
      </c>
      <c r="E210" t="s">
        <v>989</v>
      </c>
      <c r="F210" t="s">
        <v>990</v>
      </c>
      <c r="G210" t="s">
        <v>81</v>
      </c>
      <c r="H210" t="str">
        <f t="shared" si="3"/>
        <v>029C000428.00</v>
      </c>
    </row>
    <row r="211" spans="1:8" x14ac:dyDescent="0.25">
      <c r="A211">
        <v>105</v>
      </c>
      <c r="B211" t="s">
        <v>81</v>
      </c>
      <c r="C211" t="s">
        <v>82</v>
      </c>
      <c r="D211" t="s">
        <v>988</v>
      </c>
      <c r="E211" t="s">
        <v>989</v>
      </c>
      <c r="F211" t="s">
        <v>990</v>
      </c>
      <c r="G211" t="s">
        <v>81</v>
      </c>
      <c r="H211" t="str">
        <f t="shared" si="3"/>
        <v>029C000428.01</v>
      </c>
    </row>
    <row r="212" spans="1:8" x14ac:dyDescent="0.25">
      <c r="A212">
        <v>106</v>
      </c>
      <c r="B212" t="s">
        <v>90</v>
      </c>
      <c r="C212" t="s">
        <v>89</v>
      </c>
      <c r="D212" t="s">
        <v>988</v>
      </c>
      <c r="E212" t="s">
        <v>989</v>
      </c>
      <c r="F212" t="s">
        <v>990</v>
      </c>
      <c r="G212" t="s">
        <v>83</v>
      </c>
      <c r="H212" t="str">
        <f t="shared" si="3"/>
        <v>029C000604.00</v>
      </c>
    </row>
    <row r="213" spans="1:8" x14ac:dyDescent="0.25">
      <c r="A213">
        <v>106</v>
      </c>
      <c r="B213" t="s">
        <v>90</v>
      </c>
      <c r="C213" t="s">
        <v>89</v>
      </c>
      <c r="D213" t="s">
        <v>988</v>
      </c>
      <c r="E213" t="s">
        <v>989</v>
      </c>
      <c r="F213" t="s">
        <v>990</v>
      </c>
      <c r="G213" t="s">
        <v>83</v>
      </c>
      <c r="H213" t="str">
        <f t="shared" si="3"/>
        <v>029C000604.01</v>
      </c>
    </row>
    <row r="214" spans="1:8" x14ac:dyDescent="0.25">
      <c r="A214">
        <v>107</v>
      </c>
      <c r="B214" t="s">
        <v>211</v>
      </c>
      <c r="C214" t="s">
        <v>210</v>
      </c>
      <c r="D214" t="s">
        <v>988</v>
      </c>
      <c r="E214" t="s">
        <v>989</v>
      </c>
      <c r="F214" t="s">
        <v>990</v>
      </c>
      <c r="G214" t="s">
        <v>162</v>
      </c>
      <c r="H214" t="str">
        <f t="shared" si="3"/>
        <v>029C163663.00</v>
      </c>
    </row>
    <row r="215" spans="1:8" x14ac:dyDescent="0.25">
      <c r="A215">
        <v>107</v>
      </c>
      <c r="B215" t="s">
        <v>211</v>
      </c>
      <c r="C215" t="s">
        <v>210</v>
      </c>
      <c r="D215" t="s">
        <v>988</v>
      </c>
      <c r="E215" t="s">
        <v>989</v>
      </c>
      <c r="F215" t="s">
        <v>990</v>
      </c>
      <c r="G215" t="s">
        <v>162</v>
      </c>
      <c r="H215" t="str">
        <f t="shared" si="3"/>
        <v>029C163663.01</v>
      </c>
    </row>
    <row r="216" spans="1:8" x14ac:dyDescent="0.25">
      <c r="A216">
        <v>108</v>
      </c>
      <c r="B216" t="s">
        <v>899</v>
      </c>
      <c r="C216" t="s">
        <v>898</v>
      </c>
      <c r="D216" t="s">
        <v>988</v>
      </c>
      <c r="E216" t="s">
        <v>989</v>
      </c>
      <c r="F216" t="s">
        <v>990</v>
      </c>
      <c r="G216" t="s">
        <v>621</v>
      </c>
      <c r="H216" t="str">
        <f t="shared" si="3"/>
        <v>029C300905.00</v>
      </c>
    </row>
    <row r="217" spans="1:8" x14ac:dyDescent="0.25">
      <c r="A217">
        <v>108</v>
      </c>
      <c r="B217" t="s">
        <v>899</v>
      </c>
      <c r="C217" t="s">
        <v>898</v>
      </c>
      <c r="D217" t="s">
        <v>988</v>
      </c>
      <c r="E217" t="s">
        <v>989</v>
      </c>
      <c r="F217" t="s">
        <v>990</v>
      </c>
      <c r="G217" t="s">
        <v>621</v>
      </c>
      <c r="H217" t="str">
        <f t="shared" si="3"/>
        <v>029C300905.01</v>
      </c>
    </row>
    <row r="218" spans="1:8" x14ac:dyDescent="0.25">
      <c r="A218">
        <v>109</v>
      </c>
      <c r="B218" t="s">
        <v>246</v>
      </c>
      <c r="C218" t="s">
        <v>245</v>
      </c>
      <c r="D218" t="s">
        <v>988</v>
      </c>
      <c r="E218" t="s">
        <v>989</v>
      </c>
      <c r="F218" t="s">
        <v>990</v>
      </c>
      <c r="G218" t="s">
        <v>224</v>
      </c>
      <c r="H218" t="str">
        <f t="shared" si="3"/>
        <v>029C001224.00</v>
      </c>
    </row>
    <row r="219" spans="1:8" x14ac:dyDescent="0.25">
      <c r="A219">
        <v>109</v>
      </c>
      <c r="B219" t="s">
        <v>246</v>
      </c>
      <c r="C219" t="s">
        <v>245</v>
      </c>
      <c r="D219" t="s">
        <v>988</v>
      </c>
      <c r="E219" t="s">
        <v>989</v>
      </c>
      <c r="F219" t="s">
        <v>990</v>
      </c>
      <c r="G219" t="s">
        <v>224</v>
      </c>
      <c r="H219" t="str">
        <f t="shared" si="3"/>
        <v>029C001224.01</v>
      </c>
    </row>
    <row r="220" spans="1:8" x14ac:dyDescent="0.25">
      <c r="A220">
        <v>110</v>
      </c>
      <c r="B220" t="s">
        <v>673</v>
      </c>
      <c r="C220" t="s">
        <v>672</v>
      </c>
      <c r="D220" t="s">
        <v>988</v>
      </c>
      <c r="E220" t="s">
        <v>989</v>
      </c>
      <c r="F220" t="s">
        <v>990</v>
      </c>
      <c r="G220" t="s">
        <v>621</v>
      </c>
      <c r="H220" t="str">
        <f t="shared" si="3"/>
        <v>029C001939.00</v>
      </c>
    </row>
    <row r="221" spans="1:8" x14ac:dyDescent="0.25">
      <c r="A221">
        <v>110</v>
      </c>
      <c r="B221" t="s">
        <v>673</v>
      </c>
      <c r="C221" t="s">
        <v>672</v>
      </c>
      <c r="D221" t="s">
        <v>988</v>
      </c>
      <c r="E221" t="s">
        <v>989</v>
      </c>
      <c r="F221" t="s">
        <v>990</v>
      </c>
      <c r="G221" t="s">
        <v>621</v>
      </c>
      <c r="H221" t="str">
        <f t="shared" si="3"/>
        <v>029C001939.01</v>
      </c>
    </row>
    <row r="222" spans="1:8" x14ac:dyDescent="0.25">
      <c r="A222">
        <v>111</v>
      </c>
      <c r="B222" t="s">
        <v>476</v>
      </c>
      <c r="C222" t="s">
        <v>475</v>
      </c>
      <c r="D222" t="s">
        <v>988</v>
      </c>
      <c r="E222" t="s">
        <v>989</v>
      </c>
      <c r="F222" t="s">
        <v>990</v>
      </c>
      <c r="G222" t="s">
        <v>474</v>
      </c>
      <c r="H222" t="str">
        <f t="shared" si="3"/>
        <v>029C131313.00</v>
      </c>
    </row>
    <row r="223" spans="1:8" x14ac:dyDescent="0.25">
      <c r="A223">
        <v>111</v>
      </c>
      <c r="B223" t="s">
        <v>476</v>
      </c>
      <c r="C223" t="s">
        <v>475</v>
      </c>
      <c r="D223" t="s">
        <v>988</v>
      </c>
      <c r="E223" t="s">
        <v>989</v>
      </c>
      <c r="F223" t="s">
        <v>990</v>
      </c>
      <c r="G223" t="s">
        <v>474</v>
      </c>
      <c r="H223" t="str">
        <f t="shared" si="3"/>
        <v>029C131313.01</v>
      </c>
    </row>
    <row r="224" spans="1:8" x14ac:dyDescent="0.25">
      <c r="A224">
        <v>112</v>
      </c>
      <c r="B224" t="s">
        <v>34</v>
      </c>
      <c r="C224" t="s">
        <v>33</v>
      </c>
      <c r="D224" t="s">
        <v>988</v>
      </c>
      <c r="E224" t="s">
        <v>989</v>
      </c>
      <c r="F224" t="s">
        <v>990</v>
      </c>
      <c r="H224" t="str">
        <f t="shared" si="3"/>
        <v>029C001825.00</v>
      </c>
    </row>
    <row r="225" spans="1:8" x14ac:dyDescent="0.25">
      <c r="A225">
        <v>112</v>
      </c>
      <c r="B225" t="s">
        <v>34</v>
      </c>
      <c r="C225" t="s">
        <v>33</v>
      </c>
      <c r="D225" t="s">
        <v>988</v>
      </c>
      <c r="E225" t="s">
        <v>989</v>
      </c>
      <c r="F225" t="s">
        <v>990</v>
      </c>
      <c r="H225" t="str">
        <f t="shared" si="3"/>
        <v>029C001825.01</v>
      </c>
    </row>
    <row r="226" spans="1:8" x14ac:dyDescent="0.25">
      <c r="A226">
        <v>113</v>
      </c>
      <c r="B226" t="s">
        <v>207</v>
      </c>
      <c r="C226" t="s">
        <v>206</v>
      </c>
      <c r="D226" t="s">
        <v>988</v>
      </c>
      <c r="E226" t="s">
        <v>989</v>
      </c>
      <c r="F226" t="s">
        <v>990</v>
      </c>
      <c r="G226" t="s">
        <v>162</v>
      </c>
      <c r="H226" t="str">
        <f t="shared" si="3"/>
        <v>029C002008.00</v>
      </c>
    </row>
    <row r="227" spans="1:8" x14ac:dyDescent="0.25">
      <c r="A227">
        <v>113</v>
      </c>
      <c r="B227" t="s">
        <v>207</v>
      </c>
      <c r="C227" t="s">
        <v>206</v>
      </c>
      <c r="D227" t="s">
        <v>988</v>
      </c>
      <c r="E227" t="s">
        <v>989</v>
      </c>
      <c r="F227" t="s">
        <v>990</v>
      </c>
      <c r="G227" t="s">
        <v>162</v>
      </c>
      <c r="H227" t="str">
        <f t="shared" si="3"/>
        <v>029C002008.01</v>
      </c>
    </row>
    <row r="228" spans="1:8" x14ac:dyDescent="0.25">
      <c r="A228">
        <v>114</v>
      </c>
      <c r="B228" t="s">
        <v>102</v>
      </c>
      <c r="C228" t="s">
        <v>101</v>
      </c>
      <c r="D228" t="s">
        <v>988</v>
      </c>
      <c r="E228" t="s">
        <v>989</v>
      </c>
      <c r="F228" t="s">
        <v>990</v>
      </c>
      <c r="G228" t="s">
        <v>83</v>
      </c>
      <c r="H228" t="str">
        <f t="shared" si="3"/>
        <v>029C006307.00</v>
      </c>
    </row>
    <row r="229" spans="1:8" x14ac:dyDescent="0.25">
      <c r="A229">
        <v>114</v>
      </c>
      <c r="B229" t="s">
        <v>102</v>
      </c>
      <c r="C229" t="s">
        <v>101</v>
      </c>
      <c r="D229" t="s">
        <v>988</v>
      </c>
      <c r="E229" t="s">
        <v>989</v>
      </c>
      <c r="F229" t="s">
        <v>990</v>
      </c>
      <c r="G229" t="s">
        <v>83</v>
      </c>
      <c r="H229" t="str">
        <f t="shared" si="3"/>
        <v>029C006307.01</v>
      </c>
    </row>
    <row r="230" spans="1:8" x14ac:dyDescent="0.25">
      <c r="A230">
        <v>115</v>
      </c>
      <c r="B230" t="s">
        <v>757</v>
      </c>
      <c r="C230" t="s">
        <v>756</v>
      </c>
      <c r="D230" t="s">
        <v>988</v>
      </c>
      <c r="E230" t="s">
        <v>989</v>
      </c>
      <c r="F230" t="s">
        <v>990</v>
      </c>
      <c r="G230" t="s">
        <v>621</v>
      </c>
      <c r="H230" t="str">
        <f t="shared" si="3"/>
        <v>029C002360.00</v>
      </c>
    </row>
    <row r="231" spans="1:8" x14ac:dyDescent="0.25">
      <c r="A231">
        <v>115</v>
      </c>
      <c r="B231" t="s">
        <v>757</v>
      </c>
      <c r="C231" t="s">
        <v>756</v>
      </c>
      <c r="D231" t="s">
        <v>988</v>
      </c>
      <c r="E231" t="s">
        <v>989</v>
      </c>
      <c r="F231" t="s">
        <v>990</v>
      </c>
      <c r="G231" t="s">
        <v>621</v>
      </c>
      <c r="H231" t="str">
        <f t="shared" si="3"/>
        <v>029C002360.01</v>
      </c>
    </row>
    <row r="232" spans="1:8" x14ac:dyDescent="0.25">
      <c r="A232">
        <v>116</v>
      </c>
      <c r="B232" t="s">
        <v>663</v>
      </c>
      <c r="C232" t="s">
        <v>662</v>
      </c>
      <c r="D232" t="s">
        <v>988</v>
      </c>
      <c r="E232" t="s">
        <v>989</v>
      </c>
      <c r="F232" t="s">
        <v>990</v>
      </c>
      <c r="G232" t="s">
        <v>621</v>
      </c>
      <c r="H232" t="str">
        <f t="shared" si="3"/>
        <v>029C001881.00</v>
      </c>
    </row>
    <row r="233" spans="1:8" x14ac:dyDescent="0.25">
      <c r="A233">
        <v>116</v>
      </c>
      <c r="B233" t="s">
        <v>663</v>
      </c>
      <c r="C233" t="s">
        <v>662</v>
      </c>
      <c r="D233" t="s">
        <v>988</v>
      </c>
      <c r="E233" t="s">
        <v>989</v>
      </c>
      <c r="F233" t="s">
        <v>990</v>
      </c>
      <c r="G233" t="s">
        <v>621</v>
      </c>
      <c r="H233" t="str">
        <f t="shared" si="3"/>
        <v>029C001881.01</v>
      </c>
    </row>
    <row r="234" spans="1:8" x14ac:dyDescent="0.25">
      <c r="A234">
        <v>117</v>
      </c>
      <c r="B234" t="s">
        <v>715</v>
      </c>
      <c r="C234" t="s">
        <v>714</v>
      </c>
      <c r="D234" t="s">
        <v>988</v>
      </c>
      <c r="E234" t="s">
        <v>989</v>
      </c>
      <c r="F234" t="s">
        <v>990</v>
      </c>
      <c r="G234" t="s">
        <v>224</v>
      </c>
      <c r="H234" t="str">
        <f t="shared" si="3"/>
        <v>029C002312.00</v>
      </c>
    </row>
    <row r="235" spans="1:8" x14ac:dyDescent="0.25">
      <c r="A235">
        <v>117</v>
      </c>
      <c r="B235" t="s">
        <v>715</v>
      </c>
      <c r="C235" t="s">
        <v>714</v>
      </c>
      <c r="D235" t="s">
        <v>988</v>
      </c>
      <c r="E235" t="s">
        <v>989</v>
      </c>
      <c r="F235" t="s">
        <v>990</v>
      </c>
      <c r="G235" t="s">
        <v>224</v>
      </c>
      <c r="H235" t="str">
        <f t="shared" si="3"/>
        <v>029C002312.01</v>
      </c>
    </row>
    <row r="236" spans="1:8" x14ac:dyDescent="0.25">
      <c r="A236">
        <v>118</v>
      </c>
      <c r="B236" t="s">
        <v>209</v>
      </c>
      <c r="C236" t="s">
        <v>208</v>
      </c>
      <c r="D236" t="s">
        <v>988</v>
      </c>
      <c r="E236" t="s">
        <v>989</v>
      </c>
      <c r="F236" t="s">
        <v>990</v>
      </c>
      <c r="G236" t="s">
        <v>162</v>
      </c>
      <c r="H236" t="str">
        <f t="shared" si="3"/>
        <v>029C150300.00</v>
      </c>
    </row>
    <row r="237" spans="1:8" x14ac:dyDescent="0.25">
      <c r="A237">
        <v>118</v>
      </c>
      <c r="B237" t="s">
        <v>209</v>
      </c>
      <c r="C237" t="s">
        <v>208</v>
      </c>
      <c r="D237" t="s">
        <v>988</v>
      </c>
      <c r="E237" t="s">
        <v>989</v>
      </c>
      <c r="F237" t="s">
        <v>990</v>
      </c>
      <c r="G237" t="s">
        <v>162</v>
      </c>
      <c r="H237" t="str">
        <f t="shared" si="3"/>
        <v>029C150300.01</v>
      </c>
    </row>
    <row r="238" spans="1:8" x14ac:dyDescent="0.25">
      <c r="A238">
        <v>119</v>
      </c>
      <c r="B238" t="s">
        <v>803</v>
      </c>
      <c r="C238" t="s">
        <v>802</v>
      </c>
      <c r="D238" t="s">
        <v>988</v>
      </c>
      <c r="E238" t="s">
        <v>989</v>
      </c>
      <c r="F238" t="s">
        <v>990</v>
      </c>
      <c r="G238" t="s">
        <v>804</v>
      </c>
      <c r="H238" t="str">
        <f t="shared" si="3"/>
        <v>029C003926.00</v>
      </c>
    </row>
    <row r="239" spans="1:8" x14ac:dyDescent="0.25">
      <c r="A239">
        <v>119</v>
      </c>
      <c r="B239" t="s">
        <v>803</v>
      </c>
      <c r="C239" t="s">
        <v>802</v>
      </c>
      <c r="D239" t="s">
        <v>988</v>
      </c>
      <c r="E239" t="s">
        <v>989</v>
      </c>
      <c r="F239" t="s">
        <v>990</v>
      </c>
      <c r="G239" t="s">
        <v>804</v>
      </c>
      <c r="H239" t="str">
        <f t="shared" si="3"/>
        <v>029C003926.01</v>
      </c>
    </row>
    <row r="240" spans="1:8" x14ac:dyDescent="0.25">
      <c r="A240">
        <v>120</v>
      </c>
      <c r="B240" t="s">
        <v>248</v>
      </c>
      <c r="C240" t="s">
        <v>247</v>
      </c>
      <c r="D240" t="s">
        <v>988</v>
      </c>
      <c r="E240" t="s">
        <v>989</v>
      </c>
      <c r="F240" t="s">
        <v>990</v>
      </c>
      <c r="G240" t="s">
        <v>224</v>
      </c>
      <c r="H240" t="str">
        <f t="shared" si="3"/>
        <v>029C001201.00</v>
      </c>
    </row>
    <row r="241" spans="1:8" x14ac:dyDescent="0.25">
      <c r="A241">
        <v>120</v>
      </c>
      <c r="B241" t="s">
        <v>248</v>
      </c>
      <c r="C241" t="s">
        <v>247</v>
      </c>
      <c r="D241" t="s">
        <v>988</v>
      </c>
      <c r="E241" t="s">
        <v>989</v>
      </c>
      <c r="F241" t="s">
        <v>990</v>
      </c>
      <c r="G241" t="s">
        <v>224</v>
      </c>
      <c r="H241" t="str">
        <f t="shared" si="3"/>
        <v>029C001201.01</v>
      </c>
    </row>
    <row r="242" spans="1:8" x14ac:dyDescent="0.25">
      <c r="A242">
        <v>121</v>
      </c>
      <c r="B242" t="s">
        <v>36</v>
      </c>
      <c r="C242" t="s">
        <v>35</v>
      </c>
      <c r="D242" t="s">
        <v>988</v>
      </c>
      <c r="E242" t="s">
        <v>989</v>
      </c>
      <c r="F242" t="s">
        <v>990</v>
      </c>
      <c r="H242" t="str">
        <f t="shared" si="3"/>
        <v>029C011203.00</v>
      </c>
    </row>
    <row r="243" spans="1:8" x14ac:dyDescent="0.25">
      <c r="A243">
        <v>121</v>
      </c>
      <c r="B243" t="s">
        <v>36</v>
      </c>
      <c r="C243" t="s">
        <v>35</v>
      </c>
      <c r="D243" t="s">
        <v>988</v>
      </c>
      <c r="E243" t="s">
        <v>989</v>
      </c>
      <c r="F243" t="s">
        <v>990</v>
      </c>
      <c r="H243" t="str">
        <f t="shared" si="3"/>
        <v>029C011203.01</v>
      </c>
    </row>
    <row r="244" spans="1:8" x14ac:dyDescent="0.25">
      <c r="A244">
        <v>122</v>
      </c>
      <c r="B244" t="s">
        <v>901</v>
      </c>
      <c r="C244" t="s">
        <v>900</v>
      </c>
      <c r="D244" t="s">
        <v>988</v>
      </c>
      <c r="E244" t="s">
        <v>989</v>
      </c>
      <c r="F244" t="s">
        <v>990</v>
      </c>
      <c r="G244" t="s">
        <v>540</v>
      </c>
      <c r="H244" t="str">
        <f t="shared" si="3"/>
        <v>029C387002.00</v>
      </c>
    </row>
    <row r="245" spans="1:8" x14ac:dyDescent="0.25">
      <c r="A245">
        <v>122</v>
      </c>
      <c r="B245" t="s">
        <v>901</v>
      </c>
      <c r="C245" t="s">
        <v>900</v>
      </c>
      <c r="D245" t="s">
        <v>988</v>
      </c>
      <c r="E245" t="s">
        <v>989</v>
      </c>
      <c r="F245" t="s">
        <v>990</v>
      </c>
      <c r="G245" t="s">
        <v>540</v>
      </c>
      <c r="H245" t="str">
        <f t="shared" si="3"/>
        <v>029C387002.01</v>
      </c>
    </row>
    <row r="246" spans="1:8" x14ac:dyDescent="0.25">
      <c r="A246">
        <v>123</v>
      </c>
      <c r="B246" t="s">
        <v>866</v>
      </c>
      <c r="C246" t="s">
        <v>865</v>
      </c>
      <c r="D246" t="s">
        <v>988</v>
      </c>
      <c r="E246" t="s">
        <v>989</v>
      </c>
      <c r="F246" t="s">
        <v>990</v>
      </c>
      <c r="G246" t="s">
        <v>621</v>
      </c>
      <c r="H246" t="str">
        <f t="shared" si="3"/>
        <v>029C210915.00</v>
      </c>
    </row>
    <row r="247" spans="1:8" x14ac:dyDescent="0.25">
      <c r="A247">
        <v>123</v>
      </c>
      <c r="B247" t="s">
        <v>866</v>
      </c>
      <c r="C247" t="s">
        <v>865</v>
      </c>
      <c r="D247" t="s">
        <v>988</v>
      </c>
      <c r="E247" t="s">
        <v>989</v>
      </c>
      <c r="F247" t="s">
        <v>990</v>
      </c>
      <c r="G247" t="s">
        <v>621</v>
      </c>
      <c r="H247" t="str">
        <f t="shared" si="3"/>
        <v>029C210915.01</v>
      </c>
    </row>
    <row r="248" spans="1:8" x14ac:dyDescent="0.25">
      <c r="A248">
        <v>124</v>
      </c>
      <c r="B248" t="s">
        <v>139</v>
      </c>
      <c r="C248" t="s">
        <v>138</v>
      </c>
      <c r="D248" t="s">
        <v>988</v>
      </c>
      <c r="E248" t="s">
        <v>989</v>
      </c>
      <c r="F248" t="s">
        <v>990</v>
      </c>
      <c r="G248" t="s">
        <v>619</v>
      </c>
      <c r="H248" t="str">
        <f t="shared" si="3"/>
        <v>029C000957.00</v>
      </c>
    </row>
    <row r="249" spans="1:8" x14ac:dyDescent="0.25">
      <c r="A249">
        <v>124</v>
      </c>
      <c r="B249" t="s">
        <v>139</v>
      </c>
      <c r="C249" t="s">
        <v>138</v>
      </c>
      <c r="D249" t="s">
        <v>988</v>
      </c>
      <c r="E249" t="s">
        <v>989</v>
      </c>
      <c r="F249" t="s">
        <v>990</v>
      </c>
      <c r="G249" t="s">
        <v>619</v>
      </c>
      <c r="H249" t="str">
        <f t="shared" si="3"/>
        <v>029C000957.01</v>
      </c>
    </row>
    <row r="250" spans="1:8" x14ac:dyDescent="0.25">
      <c r="A250">
        <v>125</v>
      </c>
      <c r="B250" t="s">
        <v>173</v>
      </c>
      <c r="C250" t="s">
        <v>172</v>
      </c>
      <c r="D250" t="s">
        <v>988</v>
      </c>
      <c r="E250" t="s">
        <v>989</v>
      </c>
      <c r="F250" t="s">
        <v>990</v>
      </c>
      <c r="G250" t="s">
        <v>162</v>
      </c>
      <c r="H250" t="str">
        <f t="shared" si="3"/>
        <v>029C001842.00</v>
      </c>
    </row>
    <row r="251" spans="1:8" x14ac:dyDescent="0.25">
      <c r="A251">
        <v>125</v>
      </c>
      <c r="B251" t="s">
        <v>173</v>
      </c>
      <c r="C251" t="s">
        <v>172</v>
      </c>
      <c r="D251" t="s">
        <v>988</v>
      </c>
      <c r="E251" t="s">
        <v>989</v>
      </c>
      <c r="F251" t="s">
        <v>990</v>
      </c>
      <c r="G251" t="s">
        <v>162</v>
      </c>
      <c r="H251" t="str">
        <f t="shared" si="3"/>
        <v>029C001842.01</v>
      </c>
    </row>
    <row r="252" spans="1:8" x14ac:dyDescent="0.25">
      <c r="A252">
        <v>126</v>
      </c>
      <c r="B252" t="s">
        <v>503</v>
      </c>
      <c r="C252" t="s">
        <v>502</v>
      </c>
      <c r="D252" t="s">
        <v>988</v>
      </c>
      <c r="E252" t="s">
        <v>989</v>
      </c>
      <c r="F252" t="s">
        <v>990</v>
      </c>
      <c r="G252" t="s">
        <v>487</v>
      </c>
      <c r="H252" t="str">
        <f t="shared" si="3"/>
        <v>029C181818.00</v>
      </c>
    </row>
    <row r="253" spans="1:8" x14ac:dyDescent="0.25">
      <c r="A253">
        <v>126</v>
      </c>
      <c r="B253" t="s">
        <v>503</v>
      </c>
      <c r="C253" t="s">
        <v>502</v>
      </c>
      <c r="D253" t="s">
        <v>988</v>
      </c>
      <c r="E253" t="s">
        <v>989</v>
      </c>
      <c r="F253" t="s">
        <v>990</v>
      </c>
      <c r="G253" t="s">
        <v>487</v>
      </c>
      <c r="H253" t="str">
        <f t="shared" si="3"/>
        <v>029C181818.01</v>
      </c>
    </row>
    <row r="254" spans="1:8" x14ac:dyDescent="0.25">
      <c r="A254">
        <v>127</v>
      </c>
      <c r="B254" t="s">
        <v>512</v>
      </c>
      <c r="C254" t="s">
        <v>511</v>
      </c>
      <c r="D254" t="s">
        <v>988</v>
      </c>
      <c r="E254" t="s">
        <v>989</v>
      </c>
      <c r="F254" t="s">
        <v>990</v>
      </c>
      <c r="G254" t="s">
        <v>504</v>
      </c>
      <c r="H254" t="str">
        <f t="shared" si="3"/>
        <v>029C363449.00</v>
      </c>
    </row>
    <row r="255" spans="1:8" x14ac:dyDescent="0.25">
      <c r="A255">
        <v>127</v>
      </c>
      <c r="B255" t="s">
        <v>512</v>
      </c>
      <c r="C255" t="s">
        <v>511</v>
      </c>
      <c r="D255" t="s">
        <v>988</v>
      </c>
      <c r="E255" t="s">
        <v>989</v>
      </c>
      <c r="F255" t="s">
        <v>990</v>
      </c>
      <c r="G255" t="s">
        <v>504</v>
      </c>
      <c r="H255" t="str">
        <f t="shared" si="3"/>
        <v>029C363449.01</v>
      </c>
    </row>
    <row r="256" spans="1:8" x14ac:dyDescent="0.25">
      <c r="A256">
        <v>128</v>
      </c>
      <c r="B256" t="s">
        <v>392</v>
      </c>
      <c r="C256" t="s">
        <v>391</v>
      </c>
      <c r="D256" t="s">
        <v>988</v>
      </c>
      <c r="E256" t="s">
        <v>989</v>
      </c>
      <c r="F256" t="s">
        <v>990</v>
      </c>
      <c r="G256" t="s">
        <v>384</v>
      </c>
      <c r="H256" t="str">
        <f t="shared" si="3"/>
        <v>029C001542.00</v>
      </c>
    </row>
    <row r="257" spans="1:8" x14ac:dyDescent="0.25">
      <c r="A257">
        <v>128</v>
      </c>
      <c r="B257" t="s">
        <v>392</v>
      </c>
      <c r="C257" t="s">
        <v>391</v>
      </c>
      <c r="D257" t="s">
        <v>988</v>
      </c>
      <c r="E257" t="s">
        <v>989</v>
      </c>
      <c r="F257" t="s">
        <v>990</v>
      </c>
      <c r="G257" t="s">
        <v>384</v>
      </c>
      <c r="H257" t="str">
        <f t="shared" si="3"/>
        <v>029C001542.01</v>
      </c>
    </row>
    <row r="258" spans="1:8" x14ac:dyDescent="0.25">
      <c r="A258">
        <v>129</v>
      </c>
      <c r="B258" t="s">
        <v>763</v>
      </c>
      <c r="C258" t="s">
        <v>762</v>
      </c>
      <c r="D258" t="s">
        <v>988</v>
      </c>
      <c r="E258" t="s">
        <v>989</v>
      </c>
      <c r="F258" t="s">
        <v>990</v>
      </c>
      <c r="G258" t="s">
        <v>621</v>
      </c>
      <c r="H258" t="str">
        <f t="shared" ref="H258:H321" si="4">C258&amp;IF(MOD(ROW(),2)=0,".00",".01")</f>
        <v>029C002407.00</v>
      </c>
    </row>
    <row r="259" spans="1:8" x14ac:dyDescent="0.25">
      <c r="A259">
        <v>129</v>
      </c>
      <c r="B259" t="s">
        <v>763</v>
      </c>
      <c r="C259" t="s">
        <v>762</v>
      </c>
      <c r="D259" t="s">
        <v>988</v>
      </c>
      <c r="E259" t="s">
        <v>989</v>
      </c>
      <c r="F259" t="s">
        <v>990</v>
      </c>
      <c r="G259" t="s">
        <v>621</v>
      </c>
      <c r="H259" t="str">
        <f t="shared" si="4"/>
        <v>029C002407.01</v>
      </c>
    </row>
    <row r="260" spans="1:8" x14ac:dyDescent="0.25">
      <c r="A260">
        <v>130</v>
      </c>
      <c r="B260" t="s">
        <v>531</v>
      </c>
      <c r="C260" t="s">
        <v>530</v>
      </c>
      <c r="D260" t="s">
        <v>988</v>
      </c>
      <c r="E260" t="s">
        <v>989</v>
      </c>
      <c r="F260" t="s">
        <v>990</v>
      </c>
      <c r="G260" t="s">
        <v>533</v>
      </c>
      <c r="H260" t="str">
        <f t="shared" si="4"/>
        <v>029C028216.00</v>
      </c>
    </row>
    <row r="261" spans="1:8" x14ac:dyDescent="0.25">
      <c r="A261">
        <v>130</v>
      </c>
      <c r="B261" t="s">
        <v>531</v>
      </c>
      <c r="C261" t="s">
        <v>530</v>
      </c>
      <c r="D261" t="s">
        <v>988</v>
      </c>
      <c r="E261" t="s">
        <v>989</v>
      </c>
      <c r="F261" t="s">
        <v>990</v>
      </c>
      <c r="G261" t="s">
        <v>533</v>
      </c>
      <c r="H261" t="str">
        <f t="shared" si="4"/>
        <v>029C028216.01</v>
      </c>
    </row>
    <row r="262" spans="1:8" x14ac:dyDescent="0.25">
      <c r="A262">
        <v>131</v>
      </c>
      <c r="B262" t="s">
        <v>531</v>
      </c>
      <c r="C262" t="s">
        <v>860</v>
      </c>
      <c r="D262" t="s">
        <v>988</v>
      </c>
      <c r="E262" t="s">
        <v>989</v>
      </c>
      <c r="F262" t="s">
        <v>990</v>
      </c>
      <c r="G262" t="s">
        <v>487</v>
      </c>
      <c r="H262" t="str">
        <f t="shared" si="4"/>
        <v>029C190605.00</v>
      </c>
    </row>
    <row r="263" spans="1:8" x14ac:dyDescent="0.25">
      <c r="A263">
        <v>131</v>
      </c>
      <c r="B263" t="s">
        <v>531</v>
      </c>
      <c r="C263" t="s">
        <v>860</v>
      </c>
      <c r="D263" t="s">
        <v>988</v>
      </c>
      <c r="E263" t="s">
        <v>989</v>
      </c>
      <c r="F263" t="s">
        <v>990</v>
      </c>
      <c r="G263" t="s">
        <v>487</v>
      </c>
      <c r="H263" t="str">
        <f t="shared" si="4"/>
        <v>029C190605.01</v>
      </c>
    </row>
    <row r="264" spans="1:8" x14ac:dyDescent="0.25">
      <c r="A264">
        <v>132</v>
      </c>
      <c r="B264" t="s">
        <v>870</v>
      </c>
      <c r="C264" t="s">
        <v>869</v>
      </c>
      <c r="D264" t="s">
        <v>988</v>
      </c>
      <c r="E264" t="s">
        <v>989</v>
      </c>
      <c r="F264" t="s">
        <v>990</v>
      </c>
      <c r="G264" t="s">
        <v>713</v>
      </c>
      <c r="H264" t="str">
        <f t="shared" si="4"/>
        <v>029C216666.00</v>
      </c>
    </row>
    <row r="265" spans="1:8" x14ac:dyDescent="0.25">
      <c r="A265">
        <v>132</v>
      </c>
      <c r="B265" t="s">
        <v>870</v>
      </c>
      <c r="C265" t="s">
        <v>869</v>
      </c>
      <c r="D265" t="s">
        <v>988</v>
      </c>
      <c r="E265" t="s">
        <v>989</v>
      </c>
      <c r="F265" t="s">
        <v>990</v>
      </c>
      <c r="G265" t="s">
        <v>713</v>
      </c>
      <c r="H265" t="str">
        <f t="shared" si="4"/>
        <v>029C216666.01</v>
      </c>
    </row>
    <row r="266" spans="1:8" x14ac:dyDescent="0.25">
      <c r="A266">
        <v>133</v>
      </c>
      <c r="B266" t="s">
        <v>482</v>
      </c>
      <c r="C266" t="s">
        <v>481</v>
      </c>
      <c r="D266" t="s">
        <v>988</v>
      </c>
      <c r="E266" t="s">
        <v>989</v>
      </c>
      <c r="F266" t="s">
        <v>990</v>
      </c>
      <c r="G266" t="s">
        <v>474</v>
      </c>
      <c r="H266" t="str">
        <f t="shared" si="4"/>
        <v>029C694151.00</v>
      </c>
    </row>
    <row r="267" spans="1:8" x14ac:dyDescent="0.25">
      <c r="A267">
        <v>133</v>
      </c>
      <c r="B267" t="s">
        <v>482</v>
      </c>
      <c r="C267" t="s">
        <v>481</v>
      </c>
      <c r="D267" t="s">
        <v>988</v>
      </c>
      <c r="E267" t="s">
        <v>989</v>
      </c>
      <c r="F267" t="s">
        <v>990</v>
      </c>
      <c r="G267" t="s">
        <v>474</v>
      </c>
      <c r="H267" t="str">
        <f t="shared" si="4"/>
        <v>029C694151.01</v>
      </c>
    </row>
    <row r="268" spans="1:8" x14ac:dyDescent="0.25">
      <c r="A268">
        <v>134</v>
      </c>
      <c r="B268" t="s">
        <v>838</v>
      </c>
      <c r="C268" t="s">
        <v>837</v>
      </c>
      <c r="D268" t="s">
        <v>988</v>
      </c>
      <c r="E268" t="s">
        <v>989</v>
      </c>
      <c r="F268" t="s">
        <v>990</v>
      </c>
      <c r="G268" t="s">
        <v>621</v>
      </c>
      <c r="H268" t="str">
        <f t="shared" si="4"/>
        <v>029C121389.00</v>
      </c>
    </row>
    <row r="269" spans="1:8" x14ac:dyDescent="0.25">
      <c r="A269">
        <v>134</v>
      </c>
      <c r="B269" t="s">
        <v>838</v>
      </c>
      <c r="C269" t="s">
        <v>837</v>
      </c>
      <c r="D269" t="s">
        <v>988</v>
      </c>
      <c r="E269" t="s">
        <v>989</v>
      </c>
      <c r="F269" t="s">
        <v>990</v>
      </c>
      <c r="G269" t="s">
        <v>621</v>
      </c>
      <c r="H269" t="str">
        <f t="shared" si="4"/>
        <v>029C121389.01</v>
      </c>
    </row>
    <row r="270" spans="1:8" x14ac:dyDescent="0.25">
      <c r="A270">
        <v>135</v>
      </c>
      <c r="B270" t="s">
        <v>252</v>
      </c>
      <c r="C270" t="s">
        <v>251</v>
      </c>
      <c r="D270" t="s">
        <v>988</v>
      </c>
      <c r="E270" t="s">
        <v>989</v>
      </c>
      <c r="F270" t="s">
        <v>990</v>
      </c>
      <c r="G270" t="s">
        <v>224</v>
      </c>
      <c r="H270" t="str">
        <f t="shared" si="4"/>
        <v>029C001222.00</v>
      </c>
    </row>
    <row r="271" spans="1:8" x14ac:dyDescent="0.25">
      <c r="A271">
        <v>135</v>
      </c>
      <c r="B271" t="s">
        <v>252</v>
      </c>
      <c r="C271" t="s">
        <v>251</v>
      </c>
      <c r="D271" t="s">
        <v>988</v>
      </c>
      <c r="E271" t="s">
        <v>989</v>
      </c>
      <c r="F271" t="s">
        <v>990</v>
      </c>
      <c r="G271" t="s">
        <v>224</v>
      </c>
      <c r="H271" t="str">
        <f t="shared" si="4"/>
        <v>029C001222.01</v>
      </c>
    </row>
    <row r="272" spans="1:8" x14ac:dyDescent="0.25">
      <c r="A272">
        <v>136</v>
      </c>
      <c r="B272" t="s">
        <v>847</v>
      </c>
      <c r="C272" t="s">
        <v>846</v>
      </c>
      <c r="D272" t="s">
        <v>988</v>
      </c>
      <c r="E272" t="s">
        <v>989</v>
      </c>
      <c r="F272" t="s">
        <v>990</v>
      </c>
      <c r="G272" t="s">
        <v>621</v>
      </c>
      <c r="H272" t="str">
        <f t="shared" si="4"/>
        <v>029C150703.00</v>
      </c>
    </row>
    <row r="273" spans="1:8" x14ac:dyDescent="0.25">
      <c r="A273">
        <v>136</v>
      </c>
      <c r="B273" t="s">
        <v>847</v>
      </c>
      <c r="C273" t="s">
        <v>846</v>
      </c>
      <c r="D273" t="s">
        <v>988</v>
      </c>
      <c r="E273" t="s">
        <v>989</v>
      </c>
      <c r="F273" t="s">
        <v>990</v>
      </c>
      <c r="G273" t="s">
        <v>621</v>
      </c>
      <c r="H273" t="str">
        <f t="shared" si="4"/>
        <v>029C150703.01</v>
      </c>
    </row>
    <row r="274" spans="1:8" x14ac:dyDescent="0.25">
      <c r="A274">
        <v>137</v>
      </c>
      <c r="B274" t="s">
        <v>851</v>
      </c>
      <c r="C274" t="s">
        <v>850</v>
      </c>
      <c r="D274" t="s">
        <v>988</v>
      </c>
      <c r="E274" t="s">
        <v>989</v>
      </c>
      <c r="F274" t="s">
        <v>990</v>
      </c>
      <c r="G274" t="s">
        <v>621</v>
      </c>
      <c r="H274" t="str">
        <f t="shared" si="4"/>
        <v>029C180106.00</v>
      </c>
    </row>
    <row r="275" spans="1:8" x14ac:dyDescent="0.25">
      <c r="A275">
        <v>137</v>
      </c>
      <c r="B275" t="s">
        <v>851</v>
      </c>
      <c r="C275" t="s">
        <v>850</v>
      </c>
      <c r="D275" t="s">
        <v>988</v>
      </c>
      <c r="E275" t="s">
        <v>989</v>
      </c>
      <c r="F275" t="s">
        <v>990</v>
      </c>
      <c r="G275" t="s">
        <v>621</v>
      </c>
      <c r="H275" t="str">
        <f t="shared" si="4"/>
        <v>029C180106.01</v>
      </c>
    </row>
    <row r="276" spans="1:8" x14ac:dyDescent="0.25">
      <c r="A276">
        <v>138</v>
      </c>
      <c r="B276" t="s">
        <v>882</v>
      </c>
      <c r="C276" t="s">
        <v>881</v>
      </c>
      <c r="D276" t="s">
        <v>988</v>
      </c>
      <c r="E276" t="s">
        <v>989</v>
      </c>
      <c r="F276" t="s">
        <v>990</v>
      </c>
      <c r="G276" t="s">
        <v>621</v>
      </c>
      <c r="H276" t="str">
        <f t="shared" si="4"/>
        <v>029C245245.00</v>
      </c>
    </row>
    <row r="277" spans="1:8" x14ac:dyDescent="0.25">
      <c r="A277">
        <v>138</v>
      </c>
      <c r="B277" t="s">
        <v>882</v>
      </c>
      <c r="C277" t="s">
        <v>881</v>
      </c>
      <c r="D277" t="s">
        <v>988</v>
      </c>
      <c r="E277" t="s">
        <v>989</v>
      </c>
      <c r="F277" t="s">
        <v>990</v>
      </c>
      <c r="G277" t="s">
        <v>621</v>
      </c>
      <c r="H277" t="str">
        <f t="shared" si="4"/>
        <v>029C245245.01</v>
      </c>
    </row>
    <row r="278" spans="1:8" x14ac:dyDescent="0.25">
      <c r="A278">
        <v>139</v>
      </c>
      <c r="B278" t="s">
        <v>629</v>
      </c>
      <c r="C278" t="s">
        <v>628</v>
      </c>
      <c r="D278" t="s">
        <v>988</v>
      </c>
      <c r="E278" t="s">
        <v>989</v>
      </c>
      <c r="F278" t="s">
        <v>990</v>
      </c>
      <c r="G278" t="s">
        <v>621</v>
      </c>
      <c r="H278" t="str">
        <f t="shared" si="4"/>
        <v>029C001608.00</v>
      </c>
    </row>
    <row r="279" spans="1:8" x14ac:dyDescent="0.25">
      <c r="A279">
        <v>139</v>
      </c>
      <c r="B279" t="s">
        <v>629</v>
      </c>
      <c r="C279" t="s">
        <v>628</v>
      </c>
      <c r="D279" t="s">
        <v>988</v>
      </c>
      <c r="E279" t="s">
        <v>989</v>
      </c>
      <c r="F279" t="s">
        <v>990</v>
      </c>
      <c r="G279" t="s">
        <v>621</v>
      </c>
      <c r="H279" t="str">
        <f t="shared" si="4"/>
        <v>029C001608.01</v>
      </c>
    </row>
    <row r="280" spans="1:8" x14ac:dyDescent="0.25">
      <c r="A280">
        <v>140</v>
      </c>
      <c r="B280" t="s">
        <v>86</v>
      </c>
      <c r="C280" t="s">
        <v>85</v>
      </c>
      <c r="D280" t="s">
        <v>988</v>
      </c>
      <c r="E280" t="s">
        <v>989</v>
      </c>
      <c r="F280" t="s">
        <v>990</v>
      </c>
      <c r="G280" t="s">
        <v>83</v>
      </c>
      <c r="H280" t="str">
        <f t="shared" si="4"/>
        <v>029C000587.00</v>
      </c>
    </row>
    <row r="281" spans="1:8" x14ac:dyDescent="0.25">
      <c r="A281">
        <v>140</v>
      </c>
      <c r="B281" t="s">
        <v>86</v>
      </c>
      <c r="C281" t="s">
        <v>85</v>
      </c>
      <c r="D281" t="s">
        <v>988</v>
      </c>
      <c r="E281" t="s">
        <v>989</v>
      </c>
      <c r="F281" t="s">
        <v>990</v>
      </c>
      <c r="G281" t="s">
        <v>83</v>
      </c>
      <c r="H281" t="str">
        <f t="shared" si="4"/>
        <v>029C000587.01</v>
      </c>
    </row>
    <row r="282" spans="1:8" x14ac:dyDescent="0.25">
      <c r="A282">
        <v>141</v>
      </c>
      <c r="B282" t="s">
        <v>445</v>
      </c>
      <c r="C282" t="s">
        <v>444</v>
      </c>
      <c r="D282" t="s">
        <v>988</v>
      </c>
      <c r="E282" t="s">
        <v>989</v>
      </c>
      <c r="F282" t="s">
        <v>990</v>
      </c>
      <c r="G282" t="s">
        <v>421</v>
      </c>
      <c r="H282" t="str">
        <f t="shared" si="4"/>
        <v>029C183258.00</v>
      </c>
    </row>
    <row r="283" spans="1:8" x14ac:dyDescent="0.25">
      <c r="A283">
        <v>141</v>
      </c>
      <c r="B283" t="s">
        <v>445</v>
      </c>
      <c r="C283" t="s">
        <v>444</v>
      </c>
      <c r="D283" t="s">
        <v>988</v>
      </c>
      <c r="E283" t="s">
        <v>989</v>
      </c>
      <c r="F283" t="s">
        <v>990</v>
      </c>
      <c r="G283" t="s">
        <v>421</v>
      </c>
      <c r="H283" t="str">
        <f t="shared" si="4"/>
        <v>029C183258.01</v>
      </c>
    </row>
    <row r="284" spans="1:8" x14ac:dyDescent="0.25">
      <c r="A284">
        <v>142</v>
      </c>
      <c r="B284" t="s">
        <v>268</v>
      </c>
      <c r="C284" t="s">
        <v>267</v>
      </c>
      <c r="D284" t="s">
        <v>988</v>
      </c>
      <c r="E284" t="s">
        <v>989</v>
      </c>
      <c r="F284" t="s">
        <v>990</v>
      </c>
      <c r="G284" t="s">
        <v>224</v>
      </c>
      <c r="H284" t="str">
        <f t="shared" si="4"/>
        <v>029C001900.00</v>
      </c>
    </row>
    <row r="285" spans="1:8" x14ac:dyDescent="0.25">
      <c r="A285">
        <v>142</v>
      </c>
      <c r="B285" t="s">
        <v>268</v>
      </c>
      <c r="C285" t="s">
        <v>267</v>
      </c>
      <c r="D285" t="s">
        <v>988</v>
      </c>
      <c r="E285" t="s">
        <v>989</v>
      </c>
      <c r="F285" t="s">
        <v>990</v>
      </c>
      <c r="G285" t="s">
        <v>224</v>
      </c>
      <c r="H285" t="str">
        <f t="shared" si="4"/>
        <v>029C001900.01</v>
      </c>
    </row>
    <row r="286" spans="1:8" x14ac:dyDescent="0.25">
      <c r="A286">
        <v>143</v>
      </c>
      <c r="B286" t="s">
        <v>529</v>
      </c>
      <c r="C286" t="s">
        <v>528</v>
      </c>
      <c r="D286" t="s">
        <v>988</v>
      </c>
      <c r="E286" t="s">
        <v>989</v>
      </c>
      <c r="F286" t="s">
        <v>990</v>
      </c>
      <c r="G286" t="s">
        <v>533</v>
      </c>
      <c r="H286" t="str">
        <f t="shared" si="4"/>
        <v>029C009926.00</v>
      </c>
    </row>
    <row r="287" spans="1:8" x14ac:dyDescent="0.25">
      <c r="A287">
        <v>143</v>
      </c>
      <c r="B287" t="s">
        <v>529</v>
      </c>
      <c r="C287" t="s">
        <v>528</v>
      </c>
      <c r="D287" t="s">
        <v>988</v>
      </c>
      <c r="E287" t="s">
        <v>989</v>
      </c>
      <c r="F287" t="s">
        <v>990</v>
      </c>
      <c r="G287" t="s">
        <v>533</v>
      </c>
      <c r="H287" t="str">
        <f t="shared" si="4"/>
        <v>029C009926.01</v>
      </c>
    </row>
    <row r="288" spans="1:8" x14ac:dyDescent="0.25">
      <c r="A288">
        <v>144</v>
      </c>
      <c r="B288" t="s">
        <v>106</v>
      </c>
      <c r="C288" t="s">
        <v>105</v>
      </c>
      <c r="D288" t="s">
        <v>988</v>
      </c>
      <c r="E288" t="s">
        <v>989</v>
      </c>
      <c r="F288" t="s">
        <v>990</v>
      </c>
      <c r="G288" t="s">
        <v>83</v>
      </c>
      <c r="H288" t="str">
        <f t="shared" si="4"/>
        <v>029C588593.00</v>
      </c>
    </row>
    <row r="289" spans="1:8" x14ac:dyDescent="0.25">
      <c r="A289">
        <v>144</v>
      </c>
      <c r="B289" t="s">
        <v>106</v>
      </c>
      <c r="C289" t="s">
        <v>105</v>
      </c>
      <c r="D289" t="s">
        <v>988</v>
      </c>
      <c r="E289" t="s">
        <v>989</v>
      </c>
      <c r="F289" t="s">
        <v>990</v>
      </c>
      <c r="G289" t="s">
        <v>83</v>
      </c>
      <c r="H289" t="str">
        <f t="shared" si="4"/>
        <v>029C588593.01</v>
      </c>
    </row>
    <row r="290" spans="1:8" x14ac:dyDescent="0.25">
      <c r="A290">
        <v>145</v>
      </c>
      <c r="B290" t="s">
        <v>141</v>
      </c>
      <c r="C290" t="s">
        <v>140</v>
      </c>
      <c r="D290" t="s">
        <v>988</v>
      </c>
      <c r="E290" t="s">
        <v>989</v>
      </c>
      <c r="F290" t="s">
        <v>990</v>
      </c>
      <c r="G290" t="s">
        <v>619</v>
      </c>
      <c r="H290" t="str">
        <f t="shared" si="4"/>
        <v>029C000958.00</v>
      </c>
    </row>
    <row r="291" spans="1:8" x14ac:dyDescent="0.25">
      <c r="A291">
        <v>145</v>
      </c>
      <c r="B291" t="s">
        <v>141</v>
      </c>
      <c r="C291" t="s">
        <v>140</v>
      </c>
      <c r="D291" t="s">
        <v>988</v>
      </c>
      <c r="E291" t="s">
        <v>989</v>
      </c>
      <c r="F291" t="s">
        <v>990</v>
      </c>
      <c r="G291" t="s">
        <v>619</v>
      </c>
      <c r="H291" t="str">
        <f t="shared" si="4"/>
        <v>029C000958.01</v>
      </c>
    </row>
    <row r="292" spans="1:8" x14ac:dyDescent="0.25">
      <c r="A292">
        <v>146</v>
      </c>
      <c r="B292" t="s">
        <v>359</v>
      </c>
      <c r="C292" t="s">
        <v>358</v>
      </c>
      <c r="D292" t="s">
        <v>988</v>
      </c>
      <c r="E292" t="s">
        <v>989</v>
      </c>
      <c r="F292" t="s">
        <v>990</v>
      </c>
      <c r="G292" t="s">
        <v>224</v>
      </c>
      <c r="H292" t="str">
        <f t="shared" si="4"/>
        <v>029C181018.00</v>
      </c>
    </row>
    <row r="293" spans="1:8" x14ac:dyDescent="0.25">
      <c r="A293">
        <v>146</v>
      </c>
      <c r="B293" t="s">
        <v>359</v>
      </c>
      <c r="C293" t="s">
        <v>358</v>
      </c>
      <c r="D293" t="s">
        <v>988</v>
      </c>
      <c r="E293" t="s">
        <v>989</v>
      </c>
      <c r="F293" t="s">
        <v>990</v>
      </c>
      <c r="G293" t="s">
        <v>224</v>
      </c>
      <c r="H293" t="str">
        <f t="shared" si="4"/>
        <v>029C181018.01</v>
      </c>
    </row>
    <row r="294" spans="1:8" x14ac:dyDescent="0.25">
      <c r="A294">
        <v>147</v>
      </c>
      <c r="B294" t="s">
        <v>254</v>
      </c>
      <c r="C294" t="s">
        <v>253</v>
      </c>
      <c r="D294" t="s">
        <v>988</v>
      </c>
      <c r="E294" t="s">
        <v>989</v>
      </c>
      <c r="F294" t="s">
        <v>990</v>
      </c>
      <c r="G294" t="s">
        <v>224</v>
      </c>
      <c r="H294" t="str">
        <f t="shared" si="4"/>
        <v>029C001197.00</v>
      </c>
    </row>
    <row r="295" spans="1:8" x14ac:dyDescent="0.25">
      <c r="A295">
        <v>147</v>
      </c>
      <c r="B295" t="s">
        <v>254</v>
      </c>
      <c r="C295" t="s">
        <v>253</v>
      </c>
      <c r="D295" t="s">
        <v>988</v>
      </c>
      <c r="E295" t="s">
        <v>989</v>
      </c>
      <c r="F295" t="s">
        <v>990</v>
      </c>
      <c r="G295" t="s">
        <v>224</v>
      </c>
      <c r="H295" t="str">
        <f t="shared" si="4"/>
        <v>029C001197.01</v>
      </c>
    </row>
    <row r="296" spans="1:8" x14ac:dyDescent="0.25">
      <c r="A296">
        <v>148</v>
      </c>
      <c r="B296" t="s">
        <v>791</v>
      </c>
      <c r="C296" t="s">
        <v>790</v>
      </c>
      <c r="D296" t="s">
        <v>988</v>
      </c>
      <c r="E296" t="s">
        <v>989</v>
      </c>
      <c r="F296" t="s">
        <v>990</v>
      </c>
      <c r="G296" t="s">
        <v>224</v>
      </c>
      <c r="H296" t="str">
        <f t="shared" si="4"/>
        <v>029C003332.00</v>
      </c>
    </row>
    <row r="297" spans="1:8" x14ac:dyDescent="0.25">
      <c r="A297">
        <v>148</v>
      </c>
      <c r="B297" t="s">
        <v>791</v>
      </c>
      <c r="C297" t="s">
        <v>790</v>
      </c>
      <c r="D297" t="s">
        <v>988</v>
      </c>
      <c r="E297" t="s">
        <v>989</v>
      </c>
      <c r="F297" t="s">
        <v>990</v>
      </c>
      <c r="G297" t="s">
        <v>224</v>
      </c>
      <c r="H297" t="str">
        <f t="shared" si="4"/>
        <v>029C003332.01</v>
      </c>
    </row>
    <row r="298" spans="1:8" x14ac:dyDescent="0.25">
      <c r="A298">
        <v>149</v>
      </c>
      <c r="B298" t="s">
        <v>791</v>
      </c>
      <c r="C298" t="s">
        <v>883</v>
      </c>
      <c r="D298" t="s">
        <v>988</v>
      </c>
      <c r="E298" t="s">
        <v>989</v>
      </c>
      <c r="F298" t="s">
        <v>990</v>
      </c>
      <c r="G298" t="s">
        <v>621</v>
      </c>
      <c r="H298" t="str">
        <f t="shared" si="4"/>
        <v>029C250600.00</v>
      </c>
    </row>
    <row r="299" spans="1:8" x14ac:dyDescent="0.25">
      <c r="A299">
        <v>149</v>
      </c>
      <c r="B299" t="s">
        <v>791</v>
      </c>
      <c r="C299" t="s">
        <v>883</v>
      </c>
      <c r="D299" t="s">
        <v>988</v>
      </c>
      <c r="E299" t="s">
        <v>989</v>
      </c>
      <c r="F299" t="s">
        <v>990</v>
      </c>
      <c r="G299" t="s">
        <v>621</v>
      </c>
      <c r="H299" t="str">
        <f t="shared" si="4"/>
        <v>029C250600.01</v>
      </c>
    </row>
    <row r="300" spans="1:8" x14ac:dyDescent="0.25">
      <c r="A300">
        <v>150</v>
      </c>
      <c r="B300" t="s">
        <v>727</v>
      </c>
      <c r="C300" t="s">
        <v>726</v>
      </c>
      <c r="D300" t="s">
        <v>988</v>
      </c>
      <c r="E300" t="s">
        <v>989</v>
      </c>
      <c r="F300" t="s">
        <v>990</v>
      </c>
      <c r="G300" t="s">
        <v>487</v>
      </c>
      <c r="H300" t="str">
        <f t="shared" si="4"/>
        <v>029C002330.00</v>
      </c>
    </row>
    <row r="301" spans="1:8" x14ac:dyDescent="0.25">
      <c r="A301">
        <v>150</v>
      </c>
      <c r="B301" t="s">
        <v>727</v>
      </c>
      <c r="C301" t="s">
        <v>726</v>
      </c>
      <c r="D301" t="s">
        <v>988</v>
      </c>
      <c r="E301" t="s">
        <v>989</v>
      </c>
      <c r="F301" t="s">
        <v>990</v>
      </c>
      <c r="G301" t="s">
        <v>487</v>
      </c>
      <c r="H301" t="str">
        <f t="shared" si="4"/>
        <v>029C002330.01</v>
      </c>
    </row>
    <row r="302" spans="1:8" x14ac:dyDescent="0.25">
      <c r="A302">
        <v>151</v>
      </c>
      <c r="B302" t="s">
        <v>717</v>
      </c>
      <c r="C302" t="s">
        <v>716</v>
      </c>
      <c r="D302" t="s">
        <v>988</v>
      </c>
      <c r="E302" t="s">
        <v>989</v>
      </c>
      <c r="F302" t="s">
        <v>990</v>
      </c>
      <c r="G302" t="s">
        <v>621</v>
      </c>
      <c r="H302" t="str">
        <f t="shared" si="4"/>
        <v>029C002315.00</v>
      </c>
    </row>
    <row r="303" spans="1:8" x14ac:dyDescent="0.25">
      <c r="A303">
        <v>151</v>
      </c>
      <c r="B303" t="s">
        <v>717</v>
      </c>
      <c r="C303" t="s">
        <v>716</v>
      </c>
      <c r="D303" t="s">
        <v>988</v>
      </c>
      <c r="E303" t="s">
        <v>989</v>
      </c>
      <c r="F303" t="s">
        <v>990</v>
      </c>
      <c r="G303" t="s">
        <v>621</v>
      </c>
      <c r="H303" t="str">
        <f t="shared" si="4"/>
        <v>029C002315.01</v>
      </c>
    </row>
    <row r="304" spans="1:8" x14ac:dyDescent="0.25">
      <c r="A304">
        <v>152</v>
      </c>
      <c r="B304" t="s">
        <v>271</v>
      </c>
      <c r="C304" t="s">
        <v>270</v>
      </c>
      <c r="D304" t="s">
        <v>988</v>
      </c>
      <c r="E304" t="s">
        <v>989</v>
      </c>
      <c r="F304" t="s">
        <v>990</v>
      </c>
      <c r="G304" t="s">
        <v>224</v>
      </c>
      <c r="H304" t="str">
        <f t="shared" si="4"/>
        <v>029C393939.00</v>
      </c>
    </row>
    <row r="305" spans="1:8" x14ac:dyDescent="0.25">
      <c r="A305">
        <v>152</v>
      </c>
      <c r="B305" t="s">
        <v>271</v>
      </c>
      <c r="C305" t="s">
        <v>270</v>
      </c>
      <c r="D305" t="s">
        <v>988</v>
      </c>
      <c r="E305" t="s">
        <v>989</v>
      </c>
      <c r="F305" t="s">
        <v>990</v>
      </c>
      <c r="G305" t="s">
        <v>224</v>
      </c>
      <c r="H305" t="str">
        <f t="shared" si="4"/>
        <v>029C393939.01</v>
      </c>
    </row>
    <row r="306" spans="1:8" x14ac:dyDescent="0.25">
      <c r="A306">
        <v>153</v>
      </c>
      <c r="B306" t="s">
        <v>108</v>
      </c>
      <c r="C306" t="s">
        <v>107</v>
      </c>
      <c r="D306" t="s">
        <v>988</v>
      </c>
      <c r="E306" t="s">
        <v>989</v>
      </c>
      <c r="F306" t="s">
        <v>990</v>
      </c>
      <c r="G306" t="s">
        <v>83</v>
      </c>
      <c r="H306" t="str">
        <f t="shared" si="4"/>
        <v>029C302633.00</v>
      </c>
    </row>
    <row r="307" spans="1:8" x14ac:dyDescent="0.25">
      <c r="A307">
        <v>153</v>
      </c>
      <c r="B307" t="s">
        <v>108</v>
      </c>
      <c r="C307" t="s">
        <v>107</v>
      </c>
      <c r="D307" t="s">
        <v>988</v>
      </c>
      <c r="E307" t="s">
        <v>989</v>
      </c>
      <c r="F307" t="s">
        <v>990</v>
      </c>
      <c r="G307" t="s">
        <v>83</v>
      </c>
      <c r="H307" t="str">
        <f t="shared" si="4"/>
        <v>029C302633.01</v>
      </c>
    </row>
    <row r="308" spans="1:8" x14ac:dyDescent="0.25">
      <c r="A308">
        <v>154</v>
      </c>
      <c r="B308" t="s">
        <v>110</v>
      </c>
      <c r="C308" t="s">
        <v>109</v>
      </c>
      <c r="D308" t="s">
        <v>988</v>
      </c>
      <c r="E308" t="s">
        <v>989</v>
      </c>
      <c r="F308" t="s">
        <v>990</v>
      </c>
      <c r="G308" t="s">
        <v>83</v>
      </c>
      <c r="H308" t="str">
        <f t="shared" si="4"/>
        <v>029C377064.00</v>
      </c>
    </row>
    <row r="309" spans="1:8" x14ac:dyDescent="0.25">
      <c r="A309">
        <v>154</v>
      </c>
      <c r="B309" t="s">
        <v>110</v>
      </c>
      <c r="C309" t="s">
        <v>109</v>
      </c>
      <c r="D309" t="s">
        <v>988</v>
      </c>
      <c r="E309" t="s">
        <v>989</v>
      </c>
      <c r="F309" t="s">
        <v>990</v>
      </c>
      <c r="G309" t="s">
        <v>83</v>
      </c>
      <c r="H309" t="str">
        <f t="shared" si="4"/>
        <v>029C377064.01</v>
      </c>
    </row>
    <row r="310" spans="1:8" x14ac:dyDescent="0.25">
      <c r="A310">
        <v>155</v>
      </c>
      <c r="B310" t="s">
        <v>388</v>
      </c>
      <c r="C310" t="s">
        <v>387</v>
      </c>
      <c r="D310" t="s">
        <v>988</v>
      </c>
      <c r="E310" t="s">
        <v>989</v>
      </c>
      <c r="F310" t="s">
        <v>990</v>
      </c>
      <c r="G310" t="s">
        <v>384</v>
      </c>
      <c r="H310" t="str">
        <f t="shared" si="4"/>
        <v>029C001520.00</v>
      </c>
    </row>
    <row r="311" spans="1:8" x14ac:dyDescent="0.25">
      <c r="A311">
        <v>155</v>
      </c>
      <c r="B311" t="s">
        <v>388</v>
      </c>
      <c r="C311" t="s">
        <v>387</v>
      </c>
      <c r="D311" t="s">
        <v>988</v>
      </c>
      <c r="E311" t="s">
        <v>989</v>
      </c>
      <c r="F311" t="s">
        <v>990</v>
      </c>
      <c r="G311" t="s">
        <v>384</v>
      </c>
      <c r="H311" t="str">
        <f t="shared" si="4"/>
        <v>029C001520.01</v>
      </c>
    </row>
    <row r="312" spans="1:8" x14ac:dyDescent="0.25">
      <c r="A312">
        <v>156</v>
      </c>
      <c r="B312" t="s">
        <v>897</v>
      </c>
      <c r="C312" t="s">
        <v>896</v>
      </c>
      <c r="D312" t="s">
        <v>988</v>
      </c>
      <c r="E312" t="s">
        <v>989</v>
      </c>
      <c r="F312" t="s">
        <v>990</v>
      </c>
      <c r="G312" t="s">
        <v>224</v>
      </c>
      <c r="H312" t="str">
        <f t="shared" si="4"/>
        <v>029C298205.00</v>
      </c>
    </row>
    <row r="313" spans="1:8" x14ac:dyDescent="0.25">
      <c r="A313">
        <v>156</v>
      </c>
      <c r="B313" t="s">
        <v>897</v>
      </c>
      <c r="C313" t="s">
        <v>896</v>
      </c>
      <c r="D313" t="s">
        <v>988</v>
      </c>
      <c r="E313" t="s">
        <v>989</v>
      </c>
      <c r="F313" t="s">
        <v>990</v>
      </c>
      <c r="G313" t="s">
        <v>224</v>
      </c>
      <c r="H313" t="str">
        <f t="shared" si="4"/>
        <v>029C298205.01</v>
      </c>
    </row>
    <row r="314" spans="1:8" x14ac:dyDescent="0.25">
      <c r="A314">
        <v>157</v>
      </c>
      <c r="B314" t="s">
        <v>369</v>
      </c>
      <c r="C314" t="s">
        <v>368</v>
      </c>
      <c r="D314" t="s">
        <v>988</v>
      </c>
      <c r="E314" t="s">
        <v>989</v>
      </c>
      <c r="F314" t="s">
        <v>990</v>
      </c>
      <c r="G314" t="s">
        <v>224</v>
      </c>
      <c r="H314" t="str">
        <f t="shared" si="4"/>
        <v>029C181218.00</v>
      </c>
    </row>
    <row r="315" spans="1:8" x14ac:dyDescent="0.25">
      <c r="A315">
        <v>157</v>
      </c>
      <c r="B315" t="s">
        <v>369</v>
      </c>
      <c r="C315" t="s">
        <v>368</v>
      </c>
      <c r="D315" t="s">
        <v>988</v>
      </c>
      <c r="E315" t="s">
        <v>989</v>
      </c>
      <c r="F315" t="s">
        <v>990</v>
      </c>
      <c r="G315" t="s">
        <v>224</v>
      </c>
      <c r="H315" t="str">
        <f t="shared" si="4"/>
        <v>029C181218.01</v>
      </c>
    </row>
    <row r="316" spans="1:8" x14ac:dyDescent="0.25">
      <c r="A316">
        <v>158</v>
      </c>
      <c r="B316" t="s">
        <v>700</v>
      </c>
      <c r="C316" t="s">
        <v>699</v>
      </c>
      <c r="D316" t="s">
        <v>988</v>
      </c>
      <c r="E316" t="s">
        <v>989</v>
      </c>
      <c r="F316" t="s">
        <v>990</v>
      </c>
      <c r="G316" t="s">
        <v>621</v>
      </c>
      <c r="H316" t="str">
        <f t="shared" si="4"/>
        <v>029C002213.00</v>
      </c>
    </row>
    <row r="317" spans="1:8" x14ac:dyDescent="0.25">
      <c r="A317">
        <v>158</v>
      </c>
      <c r="B317" t="s">
        <v>700</v>
      </c>
      <c r="C317" t="s">
        <v>699</v>
      </c>
      <c r="D317" t="s">
        <v>988</v>
      </c>
      <c r="E317" t="s">
        <v>989</v>
      </c>
      <c r="F317" t="s">
        <v>990</v>
      </c>
      <c r="G317" t="s">
        <v>621</v>
      </c>
      <c r="H317" t="str">
        <f t="shared" si="4"/>
        <v>029C002213.01</v>
      </c>
    </row>
    <row r="318" spans="1:8" x14ac:dyDescent="0.25">
      <c r="A318">
        <v>159</v>
      </c>
      <c r="B318" t="s">
        <v>258</v>
      </c>
      <c r="C318" t="s">
        <v>257</v>
      </c>
      <c r="D318" t="s">
        <v>988</v>
      </c>
      <c r="E318" t="s">
        <v>989</v>
      </c>
      <c r="F318" t="s">
        <v>990</v>
      </c>
      <c r="G318" t="s">
        <v>224</v>
      </c>
      <c r="H318" t="str">
        <f t="shared" si="4"/>
        <v>029C001210.00</v>
      </c>
    </row>
    <row r="319" spans="1:8" x14ac:dyDescent="0.25">
      <c r="A319">
        <v>159</v>
      </c>
      <c r="B319" t="s">
        <v>258</v>
      </c>
      <c r="C319" t="s">
        <v>257</v>
      </c>
      <c r="D319" t="s">
        <v>988</v>
      </c>
      <c r="E319" t="s">
        <v>989</v>
      </c>
      <c r="F319" t="s">
        <v>990</v>
      </c>
      <c r="G319" t="s">
        <v>224</v>
      </c>
      <c r="H319" t="str">
        <f t="shared" si="4"/>
        <v>029C001210.01</v>
      </c>
    </row>
    <row r="320" spans="1:8" x14ac:dyDescent="0.25">
      <c r="A320">
        <v>160</v>
      </c>
      <c r="B320" t="s">
        <v>38</v>
      </c>
      <c r="C320" t="s">
        <v>37</v>
      </c>
      <c r="D320" t="s">
        <v>988</v>
      </c>
      <c r="E320" t="s">
        <v>989</v>
      </c>
      <c r="F320" t="s">
        <v>990</v>
      </c>
      <c r="H320" t="str">
        <f t="shared" si="4"/>
        <v>029C091972.00</v>
      </c>
    </row>
    <row r="321" spans="1:8" x14ac:dyDescent="0.25">
      <c r="A321">
        <v>160</v>
      </c>
      <c r="B321" t="s">
        <v>38</v>
      </c>
      <c r="C321" t="s">
        <v>37</v>
      </c>
      <c r="D321" t="s">
        <v>988</v>
      </c>
      <c r="E321" t="s">
        <v>989</v>
      </c>
      <c r="F321" t="s">
        <v>990</v>
      </c>
      <c r="H321" t="str">
        <f t="shared" si="4"/>
        <v>029C091972.01</v>
      </c>
    </row>
    <row r="322" spans="1:8" x14ac:dyDescent="0.25">
      <c r="A322">
        <v>161</v>
      </c>
      <c r="B322" t="s">
        <v>801</v>
      </c>
      <c r="C322" t="s">
        <v>800</v>
      </c>
      <c r="D322" t="s">
        <v>988</v>
      </c>
      <c r="E322" t="s">
        <v>989</v>
      </c>
      <c r="F322" t="s">
        <v>990</v>
      </c>
      <c r="G322" t="s">
        <v>543</v>
      </c>
      <c r="H322" t="str">
        <f t="shared" ref="H322:H385" si="5">C322&amp;IF(MOD(ROW(),2)=0,".00",".01")</f>
        <v>029C003923.00</v>
      </c>
    </row>
    <row r="323" spans="1:8" x14ac:dyDescent="0.25">
      <c r="A323">
        <v>161</v>
      </c>
      <c r="B323" t="s">
        <v>801</v>
      </c>
      <c r="C323" t="s">
        <v>800</v>
      </c>
      <c r="D323" t="s">
        <v>988</v>
      </c>
      <c r="E323" t="s">
        <v>989</v>
      </c>
      <c r="F323" t="s">
        <v>990</v>
      </c>
      <c r="G323" t="s">
        <v>543</v>
      </c>
      <c r="H323" t="str">
        <f t="shared" si="5"/>
        <v>029C003923.01</v>
      </c>
    </row>
    <row r="324" spans="1:8" x14ac:dyDescent="0.25">
      <c r="A324">
        <v>162</v>
      </c>
      <c r="B324" t="s">
        <v>627</v>
      </c>
      <c r="C324" t="s">
        <v>626</v>
      </c>
      <c r="D324" t="s">
        <v>988</v>
      </c>
      <c r="E324" t="s">
        <v>989</v>
      </c>
      <c r="F324" t="s">
        <v>990</v>
      </c>
      <c r="G324" t="s">
        <v>621</v>
      </c>
      <c r="H324" t="str">
        <f t="shared" si="5"/>
        <v>029C001607.00</v>
      </c>
    </row>
    <row r="325" spans="1:8" x14ac:dyDescent="0.25">
      <c r="A325">
        <v>162</v>
      </c>
      <c r="B325" t="s">
        <v>627</v>
      </c>
      <c r="C325" t="s">
        <v>626</v>
      </c>
      <c r="D325" t="s">
        <v>988</v>
      </c>
      <c r="E325" t="s">
        <v>989</v>
      </c>
      <c r="F325" t="s">
        <v>990</v>
      </c>
      <c r="G325" t="s">
        <v>621</v>
      </c>
      <c r="H325" t="str">
        <f t="shared" si="5"/>
        <v>029C001607.01</v>
      </c>
    </row>
    <row r="326" spans="1:8" x14ac:dyDescent="0.25">
      <c r="A326">
        <v>163</v>
      </c>
      <c r="B326" t="s">
        <v>864</v>
      </c>
      <c r="C326" t="s">
        <v>863</v>
      </c>
      <c r="D326" t="s">
        <v>988</v>
      </c>
      <c r="E326" t="s">
        <v>989</v>
      </c>
      <c r="F326" t="s">
        <v>990</v>
      </c>
      <c r="G326" t="s">
        <v>540</v>
      </c>
      <c r="H326" t="str">
        <f t="shared" si="5"/>
        <v>029C201907.00</v>
      </c>
    </row>
    <row r="327" spans="1:8" x14ac:dyDescent="0.25">
      <c r="A327">
        <v>163</v>
      </c>
      <c r="B327" t="s">
        <v>864</v>
      </c>
      <c r="C327" t="s">
        <v>863</v>
      </c>
      <c r="D327" t="s">
        <v>988</v>
      </c>
      <c r="E327" t="s">
        <v>989</v>
      </c>
      <c r="F327" t="s">
        <v>990</v>
      </c>
      <c r="G327" t="s">
        <v>540</v>
      </c>
      <c r="H327" t="str">
        <f t="shared" si="5"/>
        <v>029C201907.01</v>
      </c>
    </row>
    <row r="328" spans="1:8" x14ac:dyDescent="0.25">
      <c r="A328">
        <v>164</v>
      </c>
      <c r="B328" t="s">
        <v>179</v>
      </c>
      <c r="C328" t="s">
        <v>178</v>
      </c>
      <c r="D328" t="s">
        <v>988</v>
      </c>
      <c r="E328" t="s">
        <v>989</v>
      </c>
      <c r="F328" t="s">
        <v>990</v>
      </c>
      <c r="G328" t="s">
        <v>162</v>
      </c>
      <c r="H328" t="str">
        <f t="shared" si="5"/>
        <v>029C001845.00</v>
      </c>
    </row>
    <row r="329" spans="1:8" x14ac:dyDescent="0.25">
      <c r="A329">
        <v>164</v>
      </c>
      <c r="B329" t="s">
        <v>179</v>
      </c>
      <c r="C329" t="s">
        <v>178</v>
      </c>
      <c r="D329" t="s">
        <v>988</v>
      </c>
      <c r="E329" t="s">
        <v>989</v>
      </c>
      <c r="F329" t="s">
        <v>990</v>
      </c>
      <c r="G329" t="s">
        <v>162</v>
      </c>
      <c r="H329" t="str">
        <f t="shared" si="5"/>
        <v>029C001845.01</v>
      </c>
    </row>
    <row r="330" spans="1:8" x14ac:dyDescent="0.25">
      <c r="A330">
        <v>165</v>
      </c>
      <c r="B330" t="s">
        <v>394</v>
      </c>
      <c r="C330" t="s">
        <v>393</v>
      </c>
      <c r="D330" t="s">
        <v>988</v>
      </c>
      <c r="E330" t="s">
        <v>989</v>
      </c>
      <c r="F330" t="s">
        <v>990</v>
      </c>
      <c r="G330" t="s">
        <v>384</v>
      </c>
      <c r="H330" t="str">
        <f t="shared" si="5"/>
        <v>029C001600.00</v>
      </c>
    </row>
    <row r="331" spans="1:8" x14ac:dyDescent="0.25">
      <c r="A331">
        <v>165</v>
      </c>
      <c r="B331" t="s">
        <v>394</v>
      </c>
      <c r="C331" t="s">
        <v>393</v>
      </c>
      <c r="D331" t="s">
        <v>988</v>
      </c>
      <c r="E331" t="s">
        <v>989</v>
      </c>
      <c r="F331" t="s">
        <v>990</v>
      </c>
      <c r="G331" t="s">
        <v>384</v>
      </c>
      <c r="H331" t="str">
        <f t="shared" si="5"/>
        <v>029C001600.01</v>
      </c>
    </row>
    <row r="332" spans="1:8" x14ac:dyDescent="0.25">
      <c r="A332">
        <v>166</v>
      </c>
      <c r="B332" t="s">
        <v>171</v>
      </c>
      <c r="C332" t="s">
        <v>170</v>
      </c>
      <c r="D332" t="s">
        <v>988</v>
      </c>
      <c r="E332" t="s">
        <v>989</v>
      </c>
      <c r="F332" t="s">
        <v>990</v>
      </c>
      <c r="G332" t="s">
        <v>162</v>
      </c>
      <c r="H332" t="str">
        <f t="shared" si="5"/>
        <v>029C001841.00</v>
      </c>
    </row>
    <row r="333" spans="1:8" x14ac:dyDescent="0.25">
      <c r="A333">
        <v>166</v>
      </c>
      <c r="B333" t="s">
        <v>171</v>
      </c>
      <c r="C333" t="s">
        <v>170</v>
      </c>
      <c r="D333" t="s">
        <v>988</v>
      </c>
      <c r="E333" t="s">
        <v>989</v>
      </c>
      <c r="F333" t="s">
        <v>990</v>
      </c>
      <c r="G333" t="s">
        <v>162</v>
      </c>
      <c r="H333" t="str">
        <f t="shared" si="5"/>
        <v>029C001841.01</v>
      </c>
    </row>
    <row r="334" spans="1:8" x14ac:dyDescent="0.25">
      <c r="A334">
        <v>167</v>
      </c>
      <c r="B334" t="s">
        <v>215</v>
      </c>
      <c r="C334" t="s">
        <v>214</v>
      </c>
      <c r="D334" t="s">
        <v>988</v>
      </c>
      <c r="E334" t="s">
        <v>989</v>
      </c>
      <c r="F334" t="s">
        <v>990</v>
      </c>
      <c r="G334" t="s">
        <v>162</v>
      </c>
      <c r="H334" t="str">
        <f t="shared" si="5"/>
        <v>029C565566.00</v>
      </c>
    </row>
    <row r="335" spans="1:8" x14ac:dyDescent="0.25">
      <c r="A335">
        <v>167</v>
      </c>
      <c r="B335" t="s">
        <v>215</v>
      </c>
      <c r="C335" t="s">
        <v>214</v>
      </c>
      <c r="D335" t="s">
        <v>988</v>
      </c>
      <c r="E335" t="s">
        <v>989</v>
      </c>
      <c r="F335" t="s">
        <v>990</v>
      </c>
      <c r="G335" t="s">
        <v>162</v>
      </c>
      <c r="H335" t="str">
        <f t="shared" si="5"/>
        <v>029C565566.01</v>
      </c>
    </row>
    <row r="336" spans="1:8" x14ac:dyDescent="0.25">
      <c r="A336">
        <v>168</v>
      </c>
      <c r="B336" t="s">
        <v>281</v>
      </c>
      <c r="C336" t="s">
        <v>280</v>
      </c>
      <c r="D336" t="s">
        <v>988</v>
      </c>
      <c r="E336" t="s">
        <v>989</v>
      </c>
      <c r="F336" t="s">
        <v>990</v>
      </c>
      <c r="G336" t="s">
        <v>224</v>
      </c>
      <c r="H336" t="str">
        <f t="shared" si="5"/>
        <v>029C001889.00</v>
      </c>
    </row>
    <row r="337" spans="1:8" x14ac:dyDescent="0.25">
      <c r="A337">
        <v>168</v>
      </c>
      <c r="B337" t="s">
        <v>281</v>
      </c>
      <c r="C337" t="s">
        <v>280</v>
      </c>
      <c r="D337" t="s">
        <v>988</v>
      </c>
      <c r="E337" t="s">
        <v>989</v>
      </c>
      <c r="F337" t="s">
        <v>990</v>
      </c>
      <c r="G337" t="s">
        <v>224</v>
      </c>
      <c r="H337" t="str">
        <f t="shared" si="5"/>
        <v>029C001889.01</v>
      </c>
    </row>
    <row r="338" spans="1:8" x14ac:dyDescent="0.25">
      <c r="A338">
        <v>169</v>
      </c>
      <c r="B338" t="s">
        <v>849</v>
      </c>
      <c r="C338" t="s">
        <v>848</v>
      </c>
      <c r="D338" t="s">
        <v>988</v>
      </c>
      <c r="E338" t="s">
        <v>989</v>
      </c>
      <c r="F338" t="s">
        <v>990</v>
      </c>
      <c r="G338" t="s">
        <v>621</v>
      </c>
      <c r="H338" t="str">
        <f t="shared" si="5"/>
        <v>029C161006.00</v>
      </c>
    </row>
    <row r="339" spans="1:8" x14ac:dyDescent="0.25">
      <c r="A339">
        <v>169</v>
      </c>
      <c r="B339" t="s">
        <v>849</v>
      </c>
      <c r="C339" t="s">
        <v>848</v>
      </c>
      <c r="D339" t="s">
        <v>988</v>
      </c>
      <c r="E339" t="s">
        <v>989</v>
      </c>
      <c r="F339" t="s">
        <v>990</v>
      </c>
      <c r="G339" t="s">
        <v>621</v>
      </c>
      <c r="H339" t="str">
        <f t="shared" si="5"/>
        <v>029C161006.01</v>
      </c>
    </row>
    <row r="340" spans="1:8" x14ac:dyDescent="0.25">
      <c r="A340">
        <v>170</v>
      </c>
      <c r="B340" t="s">
        <v>749</v>
      </c>
      <c r="C340" t="s">
        <v>748</v>
      </c>
      <c r="D340" t="s">
        <v>988</v>
      </c>
      <c r="E340" t="s">
        <v>989</v>
      </c>
      <c r="F340" t="s">
        <v>990</v>
      </c>
      <c r="G340" t="s">
        <v>621</v>
      </c>
      <c r="H340" t="str">
        <f t="shared" si="5"/>
        <v>029C002345.00</v>
      </c>
    </row>
    <row r="341" spans="1:8" x14ac:dyDescent="0.25">
      <c r="A341">
        <v>170</v>
      </c>
      <c r="B341" t="s">
        <v>749</v>
      </c>
      <c r="C341" t="s">
        <v>748</v>
      </c>
      <c r="D341" t="s">
        <v>988</v>
      </c>
      <c r="E341" t="s">
        <v>989</v>
      </c>
      <c r="F341" t="s">
        <v>990</v>
      </c>
      <c r="G341" t="s">
        <v>621</v>
      </c>
      <c r="H341" t="str">
        <f t="shared" si="5"/>
        <v>029C002345.01</v>
      </c>
    </row>
    <row r="342" spans="1:8" x14ac:dyDescent="0.25">
      <c r="A342">
        <v>171</v>
      </c>
      <c r="B342" t="s">
        <v>527</v>
      </c>
      <c r="C342" t="s">
        <v>526</v>
      </c>
      <c r="D342" t="s">
        <v>988</v>
      </c>
      <c r="E342" t="s">
        <v>989</v>
      </c>
      <c r="F342" t="s">
        <v>990</v>
      </c>
      <c r="G342" t="s">
        <v>533</v>
      </c>
      <c r="H342" t="str">
        <f t="shared" si="5"/>
        <v>029C006370.00</v>
      </c>
    </row>
    <row r="343" spans="1:8" x14ac:dyDescent="0.25">
      <c r="A343">
        <v>171</v>
      </c>
      <c r="B343" t="s">
        <v>527</v>
      </c>
      <c r="C343" t="s">
        <v>526</v>
      </c>
      <c r="D343" t="s">
        <v>988</v>
      </c>
      <c r="E343" t="s">
        <v>989</v>
      </c>
      <c r="F343" t="s">
        <v>990</v>
      </c>
      <c r="G343" t="s">
        <v>533</v>
      </c>
      <c r="H343" t="str">
        <f t="shared" si="5"/>
        <v>029C006370.01</v>
      </c>
    </row>
    <row r="344" spans="1:8" x14ac:dyDescent="0.25">
      <c r="A344">
        <v>172</v>
      </c>
      <c r="B344" t="s">
        <v>94</v>
      </c>
      <c r="C344" t="s">
        <v>93</v>
      </c>
      <c r="D344" t="s">
        <v>988</v>
      </c>
      <c r="E344" t="s">
        <v>989</v>
      </c>
      <c r="F344" t="s">
        <v>990</v>
      </c>
      <c r="G344" t="s">
        <v>83</v>
      </c>
      <c r="H344" t="str">
        <f t="shared" si="5"/>
        <v>029C181918.00</v>
      </c>
    </row>
    <row r="345" spans="1:8" x14ac:dyDescent="0.25">
      <c r="A345">
        <v>172</v>
      </c>
      <c r="B345" t="s">
        <v>94</v>
      </c>
      <c r="C345" t="s">
        <v>93</v>
      </c>
      <c r="D345" t="s">
        <v>988</v>
      </c>
      <c r="E345" t="s">
        <v>989</v>
      </c>
      <c r="F345" t="s">
        <v>990</v>
      </c>
      <c r="G345" t="s">
        <v>83</v>
      </c>
      <c r="H345" t="str">
        <f t="shared" si="5"/>
        <v>029C181918.01</v>
      </c>
    </row>
    <row r="346" spans="1:8" x14ac:dyDescent="0.25">
      <c r="A346">
        <v>173</v>
      </c>
      <c r="B346" t="s">
        <v>279</v>
      </c>
      <c r="C346" t="s">
        <v>278</v>
      </c>
      <c r="D346" t="s">
        <v>988</v>
      </c>
      <c r="E346" t="s">
        <v>989</v>
      </c>
      <c r="F346" t="s">
        <v>990</v>
      </c>
      <c r="G346" t="s">
        <v>224</v>
      </c>
      <c r="H346" t="str">
        <f t="shared" si="5"/>
        <v>029C001898.00</v>
      </c>
    </row>
    <row r="347" spans="1:8" x14ac:dyDescent="0.25">
      <c r="A347">
        <v>173</v>
      </c>
      <c r="B347" t="s">
        <v>279</v>
      </c>
      <c r="C347" t="s">
        <v>278</v>
      </c>
      <c r="D347" t="s">
        <v>988</v>
      </c>
      <c r="E347" t="s">
        <v>989</v>
      </c>
      <c r="F347" t="s">
        <v>990</v>
      </c>
      <c r="G347" t="s">
        <v>224</v>
      </c>
      <c r="H347" t="str">
        <f t="shared" si="5"/>
        <v>029C001898.01</v>
      </c>
    </row>
    <row r="348" spans="1:8" x14ac:dyDescent="0.25">
      <c r="A348">
        <v>174</v>
      </c>
      <c r="B348" t="s">
        <v>283</v>
      </c>
      <c r="C348" t="s">
        <v>282</v>
      </c>
      <c r="D348" t="s">
        <v>988</v>
      </c>
      <c r="E348" t="s">
        <v>989</v>
      </c>
      <c r="F348" t="s">
        <v>990</v>
      </c>
      <c r="G348" t="s">
        <v>224</v>
      </c>
      <c r="H348" t="str">
        <f t="shared" si="5"/>
        <v>029C002239.00</v>
      </c>
    </row>
    <row r="349" spans="1:8" x14ac:dyDescent="0.25">
      <c r="A349">
        <v>174</v>
      </c>
      <c r="B349" t="s">
        <v>283</v>
      </c>
      <c r="C349" t="s">
        <v>282</v>
      </c>
      <c r="D349" t="s">
        <v>988</v>
      </c>
      <c r="E349" t="s">
        <v>989</v>
      </c>
      <c r="F349" t="s">
        <v>990</v>
      </c>
      <c r="G349" t="s">
        <v>224</v>
      </c>
      <c r="H349" t="str">
        <f t="shared" si="5"/>
        <v>029C002239.01</v>
      </c>
    </row>
    <row r="350" spans="1:8" x14ac:dyDescent="0.25">
      <c r="A350">
        <v>175</v>
      </c>
      <c r="B350" t="s">
        <v>675</v>
      </c>
      <c r="C350" t="s">
        <v>674</v>
      </c>
      <c r="D350" t="s">
        <v>988</v>
      </c>
      <c r="E350" t="s">
        <v>989</v>
      </c>
      <c r="F350" t="s">
        <v>990</v>
      </c>
      <c r="G350" t="s">
        <v>621</v>
      </c>
      <c r="H350" t="str">
        <f t="shared" si="5"/>
        <v>029C001942.00</v>
      </c>
    </row>
    <row r="351" spans="1:8" x14ac:dyDescent="0.25">
      <c r="A351">
        <v>175</v>
      </c>
      <c r="B351" t="s">
        <v>675</v>
      </c>
      <c r="C351" t="s">
        <v>674</v>
      </c>
      <c r="D351" t="s">
        <v>988</v>
      </c>
      <c r="E351" t="s">
        <v>989</v>
      </c>
      <c r="F351" t="s">
        <v>990</v>
      </c>
      <c r="G351" t="s">
        <v>621</v>
      </c>
      <c r="H351" t="str">
        <f t="shared" si="5"/>
        <v>029C001942.01</v>
      </c>
    </row>
    <row r="352" spans="1:8" x14ac:dyDescent="0.25">
      <c r="A352">
        <v>176</v>
      </c>
      <c r="B352" t="s">
        <v>824</v>
      </c>
      <c r="C352" t="s">
        <v>823</v>
      </c>
      <c r="D352" t="s">
        <v>988</v>
      </c>
      <c r="E352" t="s">
        <v>989</v>
      </c>
      <c r="F352" t="s">
        <v>990</v>
      </c>
      <c r="G352" t="s">
        <v>224</v>
      </c>
      <c r="H352" t="str">
        <f t="shared" si="5"/>
        <v>029C050105.00</v>
      </c>
    </row>
    <row r="353" spans="1:8" x14ac:dyDescent="0.25">
      <c r="A353">
        <v>176</v>
      </c>
      <c r="B353" t="s">
        <v>824</v>
      </c>
      <c r="C353" t="s">
        <v>823</v>
      </c>
      <c r="D353" t="s">
        <v>988</v>
      </c>
      <c r="E353" t="s">
        <v>989</v>
      </c>
      <c r="F353" t="s">
        <v>990</v>
      </c>
      <c r="G353" t="s">
        <v>224</v>
      </c>
      <c r="H353" t="str">
        <f t="shared" si="5"/>
        <v>029C050105.01</v>
      </c>
    </row>
    <row r="354" spans="1:8" x14ac:dyDescent="0.25">
      <c r="A354">
        <v>177</v>
      </c>
      <c r="B354" t="s">
        <v>683</v>
      </c>
      <c r="C354" t="s">
        <v>682</v>
      </c>
      <c r="D354" t="s">
        <v>988</v>
      </c>
      <c r="E354" t="s">
        <v>989</v>
      </c>
      <c r="F354" t="s">
        <v>990</v>
      </c>
      <c r="G354" t="s">
        <v>621</v>
      </c>
      <c r="H354" t="str">
        <f t="shared" si="5"/>
        <v>029C002013.00</v>
      </c>
    </row>
    <row r="355" spans="1:8" x14ac:dyDescent="0.25">
      <c r="A355">
        <v>177</v>
      </c>
      <c r="B355" t="s">
        <v>683</v>
      </c>
      <c r="C355" t="s">
        <v>682</v>
      </c>
      <c r="D355" t="s">
        <v>988</v>
      </c>
      <c r="E355" t="s">
        <v>989</v>
      </c>
      <c r="F355" t="s">
        <v>990</v>
      </c>
      <c r="G355" t="s">
        <v>621</v>
      </c>
      <c r="H355" t="str">
        <f t="shared" si="5"/>
        <v>029C002013.01</v>
      </c>
    </row>
    <row r="356" spans="1:8" x14ac:dyDescent="0.25">
      <c r="A356">
        <v>178</v>
      </c>
      <c r="B356" t="s">
        <v>671</v>
      </c>
      <c r="C356" t="s">
        <v>670</v>
      </c>
      <c r="D356" t="s">
        <v>988</v>
      </c>
      <c r="E356" t="s">
        <v>989</v>
      </c>
      <c r="F356" t="s">
        <v>990</v>
      </c>
      <c r="G356" t="s">
        <v>621</v>
      </c>
      <c r="H356" t="str">
        <f t="shared" si="5"/>
        <v>029C001934.00</v>
      </c>
    </row>
    <row r="357" spans="1:8" x14ac:dyDescent="0.25">
      <c r="A357">
        <v>178</v>
      </c>
      <c r="B357" t="s">
        <v>671</v>
      </c>
      <c r="C357" t="s">
        <v>670</v>
      </c>
      <c r="D357" t="s">
        <v>988</v>
      </c>
      <c r="E357" t="s">
        <v>989</v>
      </c>
      <c r="F357" t="s">
        <v>990</v>
      </c>
      <c r="G357" t="s">
        <v>621</v>
      </c>
      <c r="H357" t="str">
        <f t="shared" si="5"/>
        <v>029C001934.01</v>
      </c>
    </row>
    <row r="358" spans="1:8" x14ac:dyDescent="0.25">
      <c r="A358">
        <v>179</v>
      </c>
      <c r="B358" t="s">
        <v>193</v>
      </c>
      <c r="C358" t="s">
        <v>192</v>
      </c>
      <c r="D358" t="s">
        <v>988</v>
      </c>
      <c r="E358" t="s">
        <v>989</v>
      </c>
      <c r="F358" t="s">
        <v>990</v>
      </c>
      <c r="G358" t="s">
        <v>162</v>
      </c>
      <c r="H358" t="str">
        <f t="shared" si="5"/>
        <v>029C001941.00</v>
      </c>
    </row>
    <row r="359" spans="1:8" x14ac:dyDescent="0.25">
      <c r="A359">
        <v>179</v>
      </c>
      <c r="B359" t="s">
        <v>193</v>
      </c>
      <c r="C359" t="s">
        <v>192</v>
      </c>
      <c r="D359" t="s">
        <v>988</v>
      </c>
      <c r="E359" t="s">
        <v>989</v>
      </c>
      <c r="F359" t="s">
        <v>990</v>
      </c>
      <c r="G359" t="s">
        <v>162</v>
      </c>
      <c r="H359" t="str">
        <f t="shared" si="5"/>
        <v>029C001941.01</v>
      </c>
    </row>
    <row r="360" spans="1:8" x14ac:dyDescent="0.25">
      <c r="A360">
        <v>180</v>
      </c>
      <c r="B360" t="s">
        <v>306</v>
      </c>
      <c r="C360" t="s">
        <v>305</v>
      </c>
      <c r="D360" t="s">
        <v>988</v>
      </c>
      <c r="E360" t="s">
        <v>989</v>
      </c>
      <c r="F360" t="s">
        <v>990</v>
      </c>
      <c r="G360" t="s">
        <v>224</v>
      </c>
      <c r="H360" t="str">
        <f t="shared" si="5"/>
        <v>029C003618.00</v>
      </c>
    </row>
    <row r="361" spans="1:8" x14ac:dyDescent="0.25">
      <c r="A361">
        <v>180</v>
      </c>
      <c r="B361" t="s">
        <v>306</v>
      </c>
      <c r="C361" t="s">
        <v>305</v>
      </c>
      <c r="D361" t="s">
        <v>988</v>
      </c>
      <c r="E361" t="s">
        <v>989</v>
      </c>
      <c r="F361" t="s">
        <v>990</v>
      </c>
      <c r="G361" t="s">
        <v>224</v>
      </c>
      <c r="H361" t="str">
        <f t="shared" si="5"/>
        <v>029C003618.01</v>
      </c>
    </row>
    <row r="362" spans="1:8" x14ac:dyDescent="0.25">
      <c r="A362">
        <v>181</v>
      </c>
      <c r="B362" t="s">
        <v>723</v>
      </c>
      <c r="C362" t="s">
        <v>722</v>
      </c>
      <c r="D362" t="s">
        <v>988</v>
      </c>
      <c r="E362" t="s">
        <v>989</v>
      </c>
      <c r="F362" t="s">
        <v>990</v>
      </c>
      <c r="G362" t="s">
        <v>487</v>
      </c>
      <c r="H362" t="str">
        <f t="shared" si="5"/>
        <v>029C002325.00</v>
      </c>
    </row>
    <row r="363" spans="1:8" x14ac:dyDescent="0.25">
      <c r="A363">
        <v>181</v>
      </c>
      <c r="B363" t="s">
        <v>723</v>
      </c>
      <c r="C363" t="s">
        <v>722</v>
      </c>
      <c r="D363" t="s">
        <v>988</v>
      </c>
      <c r="E363" t="s">
        <v>989</v>
      </c>
      <c r="F363" t="s">
        <v>990</v>
      </c>
      <c r="G363" t="s">
        <v>487</v>
      </c>
      <c r="H363" t="str">
        <f t="shared" si="5"/>
        <v>029C002325.01</v>
      </c>
    </row>
    <row r="364" spans="1:8" x14ac:dyDescent="0.25">
      <c r="A364">
        <v>182</v>
      </c>
      <c r="B364" t="s">
        <v>641</v>
      </c>
      <c r="C364" t="s">
        <v>640</v>
      </c>
      <c r="D364" t="s">
        <v>988</v>
      </c>
      <c r="E364" t="s">
        <v>989</v>
      </c>
      <c r="F364" t="s">
        <v>990</v>
      </c>
      <c r="G364" t="s">
        <v>621</v>
      </c>
      <c r="H364" t="str">
        <f t="shared" si="5"/>
        <v>029C001763.00</v>
      </c>
    </row>
    <row r="365" spans="1:8" x14ac:dyDescent="0.25">
      <c r="A365">
        <v>182</v>
      </c>
      <c r="B365" t="s">
        <v>641</v>
      </c>
      <c r="C365" t="s">
        <v>640</v>
      </c>
      <c r="D365" t="s">
        <v>988</v>
      </c>
      <c r="E365" t="s">
        <v>989</v>
      </c>
      <c r="F365" t="s">
        <v>990</v>
      </c>
      <c r="G365" t="s">
        <v>621</v>
      </c>
      <c r="H365" t="str">
        <f t="shared" si="5"/>
        <v>029C001763.01</v>
      </c>
    </row>
    <row r="366" spans="1:8" x14ac:dyDescent="0.25">
      <c r="A366">
        <v>183</v>
      </c>
      <c r="B366" t="s">
        <v>418</v>
      </c>
      <c r="C366" t="s">
        <v>417</v>
      </c>
      <c r="D366" t="s">
        <v>988</v>
      </c>
      <c r="E366" t="s">
        <v>989</v>
      </c>
      <c r="F366" t="s">
        <v>990</v>
      </c>
      <c r="G366" t="s">
        <v>621</v>
      </c>
      <c r="H366" t="str">
        <f t="shared" si="5"/>
        <v>029C071088.00</v>
      </c>
    </row>
    <row r="367" spans="1:8" x14ac:dyDescent="0.25">
      <c r="A367">
        <v>183</v>
      </c>
      <c r="B367" t="s">
        <v>418</v>
      </c>
      <c r="C367" t="s">
        <v>417</v>
      </c>
      <c r="D367" t="s">
        <v>988</v>
      </c>
      <c r="E367" t="s">
        <v>989</v>
      </c>
      <c r="F367" t="s">
        <v>990</v>
      </c>
      <c r="G367" t="s">
        <v>621</v>
      </c>
      <c r="H367" t="str">
        <f t="shared" si="5"/>
        <v>029C071088.01</v>
      </c>
    </row>
    <row r="368" spans="1:8" x14ac:dyDescent="0.25">
      <c r="A368">
        <v>184</v>
      </c>
      <c r="B368" t="s">
        <v>651</v>
      </c>
      <c r="C368" t="s">
        <v>650</v>
      </c>
      <c r="D368" t="s">
        <v>988</v>
      </c>
      <c r="E368" t="s">
        <v>989</v>
      </c>
      <c r="F368" t="s">
        <v>990</v>
      </c>
      <c r="G368" t="s">
        <v>621</v>
      </c>
      <c r="H368" t="str">
        <f t="shared" si="5"/>
        <v>029C001800.00</v>
      </c>
    </row>
    <row r="369" spans="1:8" x14ac:dyDescent="0.25">
      <c r="A369">
        <v>184</v>
      </c>
      <c r="B369" t="s">
        <v>651</v>
      </c>
      <c r="C369" t="s">
        <v>650</v>
      </c>
      <c r="D369" t="s">
        <v>988</v>
      </c>
      <c r="E369" t="s">
        <v>989</v>
      </c>
      <c r="F369" t="s">
        <v>990</v>
      </c>
      <c r="G369" t="s">
        <v>621</v>
      </c>
      <c r="H369" t="str">
        <f t="shared" si="5"/>
        <v>029C001800.01</v>
      </c>
    </row>
    <row r="370" spans="1:8" x14ac:dyDescent="0.25">
      <c r="A370">
        <v>185</v>
      </c>
      <c r="B370" t="s">
        <v>773</v>
      </c>
      <c r="C370" t="s">
        <v>772</v>
      </c>
      <c r="D370" t="s">
        <v>988</v>
      </c>
      <c r="E370" t="s">
        <v>989</v>
      </c>
      <c r="F370" t="s">
        <v>990</v>
      </c>
      <c r="G370" t="s">
        <v>162</v>
      </c>
      <c r="H370" t="str">
        <f t="shared" si="5"/>
        <v>029C002745.00</v>
      </c>
    </row>
    <row r="371" spans="1:8" x14ac:dyDescent="0.25">
      <c r="A371">
        <v>185</v>
      </c>
      <c r="B371" t="s">
        <v>773</v>
      </c>
      <c r="C371" t="s">
        <v>772</v>
      </c>
      <c r="D371" t="s">
        <v>988</v>
      </c>
      <c r="E371" t="s">
        <v>989</v>
      </c>
      <c r="F371" t="s">
        <v>990</v>
      </c>
      <c r="G371" t="s">
        <v>162</v>
      </c>
      <c r="H371" t="str">
        <f t="shared" si="5"/>
        <v>029C002745.01</v>
      </c>
    </row>
    <row r="372" spans="1:8" x14ac:dyDescent="0.25">
      <c r="A372">
        <v>186</v>
      </c>
      <c r="B372" t="s">
        <v>639</v>
      </c>
      <c r="C372" t="s">
        <v>638</v>
      </c>
      <c r="D372" t="s">
        <v>988</v>
      </c>
      <c r="E372" t="s">
        <v>989</v>
      </c>
      <c r="F372" t="s">
        <v>990</v>
      </c>
      <c r="G372" t="s">
        <v>621</v>
      </c>
      <c r="H372" t="str">
        <f t="shared" si="5"/>
        <v>029C001762.00</v>
      </c>
    </row>
    <row r="373" spans="1:8" x14ac:dyDescent="0.25">
      <c r="A373">
        <v>186</v>
      </c>
      <c r="B373" t="s">
        <v>639</v>
      </c>
      <c r="C373" t="s">
        <v>638</v>
      </c>
      <c r="D373" t="s">
        <v>988</v>
      </c>
      <c r="E373" t="s">
        <v>989</v>
      </c>
      <c r="F373" t="s">
        <v>990</v>
      </c>
      <c r="G373" t="s">
        <v>621</v>
      </c>
      <c r="H373" t="str">
        <f t="shared" si="5"/>
        <v>029C001762.01</v>
      </c>
    </row>
    <row r="374" spans="1:8" x14ac:dyDescent="0.25">
      <c r="A374">
        <v>187</v>
      </c>
      <c r="B374" t="s">
        <v>296</v>
      </c>
      <c r="C374" t="s">
        <v>295</v>
      </c>
      <c r="D374" t="s">
        <v>988</v>
      </c>
      <c r="E374" t="s">
        <v>989</v>
      </c>
      <c r="F374" t="s">
        <v>990</v>
      </c>
      <c r="G374" t="s">
        <v>224</v>
      </c>
      <c r="H374" t="str">
        <f t="shared" si="5"/>
        <v>029C001212.00</v>
      </c>
    </row>
    <row r="375" spans="1:8" x14ac:dyDescent="0.25">
      <c r="A375">
        <v>187</v>
      </c>
      <c r="B375" t="s">
        <v>296</v>
      </c>
      <c r="C375" t="s">
        <v>295</v>
      </c>
      <c r="D375" t="s">
        <v>988</v>
      </c>
      <c r="E375" t="s">
        <v>989</v>
      </c>
      <c r="F375" t="s">
        <v>990</v>
      </c>
      <c r="G375" t="s">
        <v>224</v>
      </c>
      <c r="H375" t="str">
        <f t="shared" si="5"/>
        <v>029C001212.01</v>
      </c>
    </row>
    <row r="376" spans="1:8" x14ac:dyDescent="0.25">
      <c r="A376">
        <v>188</v>
      </c>
      <c r="B376" t="s">
        <v>907</v>
      </c>
      <c r="C376" t="s">
        <v>906</v>
      </c>
      <c r="D376" t="s">
        <v>988</v>
      </c>
      <c r="E376" t="s">
        <v>989</v>
      </c>
      <c r="F376" t="s">
        <v>990</v>
      </c>
      <c r="G376" t="s">
        <v>224</v>
      </c>
      <c r="H376" t="str">
        <f t="shared" si="5"/>
        <v>029C686262.00</v>
      </c>
    </row>
    <row r="377" spans="1:8" x14ac:dyDescent="0.25">
      <c r="A377">
        <v>188</v>
      </c>
      <c r="B377" t="s">
        <v>907</v>
      </c>
      <c r="C377" t="s">
        <v>906</v>
      </c>
      <c r="D377" t="s">
        <v>988</v>
      </c>
      <c r="E377" t="s">
        <v>989</v>
      </c>
      <c r="F377" t="s">
        <v>990</v>
      </c>
      <c r="G377" t="s">
        <v>224</v>
      </c>
      <c r="H377" t="str">
        <f t="shared" si="5"/>
        <v>029C686262.01</v>
      </c>
    </row>
    <row r="378" spans="1:8" x14ac:dyDescent="0.25">
      <c r="A378">
        <v>189</v>
      </c>
      <c r="B378" t="s">
        <v>725</v>
      </c>
      <c r="C378" t="s">
        <v>724</v>
      </c>
      <c r="D378" t="s">
        <v>988</v>
      </c>
      <c r="E378" t="s">
        <v>989</v>
      </c>
      <c r="F378" t="s">
        <v>990</v>
      </c>
      <c r="G378" t="s">
        <v>487</v>
      </c>
      <c r="H378" t="str">
        <f t="shared" si="5"/>
        <v>029C002329.00</v>
      </c>
    </row>
    <row r="379" spans="1:8" x14ac:dyDescent="0.25">
      <c r="A379">
        <v>189</v>
      </c>
      <c r="B379" t="s">
        <v>725</v>
      </c>
      <c r="C379" t="s">
        <v>724</v>
      </c>
      <c r="D379" t="s">
        <v>988</v>
      </c>
      <c r="E379" t="s">
        <v>989</v>
      </c>
      <c r="F379" t="s">
        <v>990</v>
      </c>
      <c r="G379" t="s">
        <v>487</v>
      </c>
      <c r="H379" t="str">
        <f t="shared" si="5"/>
        <v>029C002329.01</v>
      </c>
    </row>
    <row r="380" spans="1:8" x14ac:dyDescent="0.25">
      <c r="A380">
        <v>190</v>
      </c>
      <c r="B380" t="s">
        <v>777</v>
      </c>
      <c r="C380" t="s">
        <v>776</v>
      </c>
      <c r="D380" t="s">
        <v>988</v>
      </c>
      <c r="E380" t="s">
        <v>989</v>
      </c>
      <c r="F380" t="s">
        <v>990</v>
      </c>
      <c r="G380" t="s">
        <v>621</v>
      </c>
      <c r="H380" t="str">
        <f t="shared" si="5"/>
        <v>029C003321.00</v>
      </c>
    </row>
    <row r="381" spans="1:8" x14ac:dyDescent="0.25">
      <c r="A381">
        <v>190</v>
      </c>
      <c r="B381" t="s">
        <v>777</v>
      </c>
      <c r="C381" t="s">
        <v>776</v>
      </c>
      <c r="D381" t="s">
        <v>988</v>
      </c>
      <c r="E381" t="s">
        <v>989</v>
      </c>
      <c r="F381" t="s">
        <v>990</v>
      </c>
      <c r="G381" t="s">
        <v>621</v>
      </c>
      <c r="H381" t="str">
        <f t="shared" si="5"/>
        <v>029C003321.01</v>
      </c>
    </row>
    <row r="382" spans="1:8" x14ac:dyDescent="0.25">
      <c r="A382">
        <v>191</v>
      </c>
      <c r="B382" t="s">
        <v>685</v>
      </c>
      <c r="C382" t="s">
        <v>684</v>
      </c>
      <c r="D382" t="s">
        <v>988</v>
      </c>
      <c r="E382" t="s">
        <v>989</v>
      </c>
      <c r="F382" t="s">
        <v>990</v>
      </c>
      <c r="G382" t="s">
        <v>621</v>
      </c>
      <c r="H382" t="str">
        <f t="shared" si="5"/>
        <v>029C002017.00</v>
      </c>
    </row>
    <row r="383" spans="1:8" x14ac:dyDescent="0.25">
      <c r="A383">
        <v>191</v>
      </c>
      <c r="B383" t="s">
        <v>685</v>
      </c>
      <c r="C383" t="s">
        <v>684</v>
      </c>
      <c r="D383" t="s">
        <v>988</v>
      </c>
      <c r="E383" t="s">
        <v>989</v>
      </c>
      <c r="F383" t="s">
        <v>990</v>
      </c>
      <c r="G383" t="s">
        <v>621</v>
      </c>
      <c r="H383" t="str">
        <f t="shared" si="5"/>
        <v>029C002017.01</v>
      </c>
    </row>
    <row r="384" spans="1:8" x14ac:dyDescent="0.25">
      <c r="A384">
        <v>192</v>
      </c>
      <c r="B384" t="s">
        <v>308</v>
      </c>
      <c r="C384" t="s">
        <v>307</v>
      </c>
      <c r="D384" t="s">
        <v>988</v>
      </c>
      <c r="E384" t="s">
        <v>989</v>
      </c>
      <c r="F384" t="s">
        <v>990</v>
      </c>
      <c r="G384" t="s">
        <v>224</v>
      </c>
      <c r="H384" t="str">
        <f t="shared" si="5"/>
        <v>029C001896.00</v>
      </c>
    </row>
    <row r="385" spans="1:8" x14ac:dyDescent="0.25">
      <c r="A385">
        <v>192</v>
      </c>
      <c r="B385" t="s">
        <v>308</v>
      </c>
      <c r="C385" t="s">
        <v>307</v>
      </c>
      <c r="D385" t="s">
        <v>988</v>
      </c>
      <c r="E385" t="s">
        <v>989</v>
      </c>
      <c r="F385" t="s">
        <v>990</v>
      </c>
      <c r="G385" t="s">
        <v>224</v>
      </c>
      <c r="H385" t="str">
        <f t="shared" si="5"/>
        <v>029C001896.01</v>
      </c>
    </row>
    <row r="386" spans="1:8" x14ac:dyDescent="0.25">
      <c r="A386">
        <v>193</v>
      </c>
      <c r="B386" t="s">
        <v>44</v>
      </c>
      <c r="C386" t="s">
        <v>43</v>
      </c>
      <c r="D386" t="s">
        <v>988</v>
      </c>
      <c r="E386" t="s">
        <v>989</v>
      </c>
      <c r="F386" t="s">
        <v>990</v>
      </c>
      <c r="H386" t="str">
        <f t="shared" ref="H386:H449" si="6">C386&amp;IF(MOD(ROW(),2)=0,".00",".01")</f>
        <v>029C002190.00</v>
      </c>
    </row>
    <row r="387" spans="1:8" x14ac:dyDescent="0.25">
      <c r="A387">
        <v>193</v>
      </c>
      <c r="B387" t="s">
        <v>44</v>
      </c>
      <c r="C387" t="s">
        <v>43</v>
      </c>
      <c r="D387" t="s">
        <v>988</v>
      </c>
      <c r="E387" t="s">
        <v>989</v>
      </c>
      <c r="F387" t="s">
        <v>990</v>
      </c>
      <c r="H387" t="str">
        <f t="shared" si="6"/>
        <v>029C002190.01</v>
      </c>
    </row>
    <row r="388" spans="1:8" x14ac:dyDescent="0.25">
      <c r="A388">
        <v>194</v>
      </c>
      <c r="B388" t="s">
        <v>745</v>
      </c>
      <c r="C388" t="s">
        <v>744</v>
      </c>
      <c r="D388" t="s">
        <v>988</v>
      </c>
      <c r="E388" t="s">
        <v>989</v>
      </c>
      <c r="F388" t="s">
        <v>990</v>
      </c>
      <c r="G388" t="s">
        <v>713</v>
      </c>
      <c r="H388" t="str">
        <f t="shared" si="6"/>
        <v>029C002343.00</v>
      </c>
    </row>
    <row r="389" spans="1:8" x14ac:dyDescent="0.25">
      <c r="A389">
        <v>194</v>
      </c>
      <c r="B389" t="s">
        <v>745</v>
      </c>
      <c r="C389" t="s">
        <v>744</v>
      </c>
      <c r="D389" t="s">
        <v>988</v>
      </c>
      <c r="E389" t="s">
        <v>989</v>
      </c>
      <c r="F389" t="s">
        <v>990</v>
      </c>
      <c r="G389" t="s">
        <v>713</v>
      </c>
      <c r="H389" t="str">
        <f t="shared" si="6"/>
        <v>029C002343.01</v>
      </c>
    </row>
    <row r="390" spans="1:8" x14ac:dyDescent="0.25">
      <c r="A390">
        <v>195</v>
      </c>
      <c r="B390" t="s">
        <v>406</v>
      </c>
      <c r="C390" t="s">
        <v>405</v>
      </c>
      <c r="D390" t="s">
        <v>988</v>
      </c>
      <c r="E390" t="s">
        <v>989</v>
      </c>
      <c r="F390" t="s">
        <v>990</v>
      </c>
      <c r="G390" t="s">
        <v>384</v>
      </c>
      <c r="H390" t="str">
        <f t="shared" si="6"/>
        <v>029C001592.00</v>
      </c>
    </row>
    <row r="391" spans="1:8" x14ac:dyDescent="0.25">
      <c r="A391">
        <v>195</v>
      </c>
      <c r="B391" t="s">
        <v>406</v>
      </c>
      <c r="C391" t="s">
        <v>405</v>
      </c>
      <c r="D391" t="s">
        <v>988</v>
      </c>
      <c r="E391" t="s">
        <v>989</v>
      </c>
      <c r="F391" t="s">
        <v>990</v>
      </c>
      <c r="G391" t="s">
        <v>384</v>
      </c>
      <c r="H391" t="str">
        <f t="shared" si="6"/>
        <v>029C001592.01</v>
      </c>
    </row>
    <row r="392" spans="1:8" x14ac:dyDescent="0.25">
      <c r="A392">
        <v>196</v>
      </c>
      <c r="B392" t="s">
        <v>298</v>
      </c>
      <c r="C392" t="s">
        <v>297</v>
      </c>
      <c r="D392" t="s">
        <v>988</v>
      </c>
      <c r="E392" t="s">
        <v>989</v>
      </c>
      <c r="F392" t="s">
        <v>990</v>
      </c>
      <c r="G392" t="s">
        <v>224</v>
      </c>
      <c r="H392" t="str">
        <f t="shared" si="6"/>
        <v>029C001204.00</v>
      </c>
    </row>
    <row r="393" spans="1:8" x14ac:dyDescent="0.25">
      <c r="A393">
        <v>196</v>
      </c>
      <c r="B393" t="s">
        <v>298</v>
      </c>
      <c r="C393" t="s">
        <v>297</v>
      </c>
      <c r="D393" t="s">
        <v>988</v>
      </c>
      <c r="E393" t="s">
        <v>989</v>
      </c>
      <c r="F393" t="s">
        <v>990</v>
      </c>
      <c r="G393" t="s">
        <v>224</v>
      </c>
      <c r="H393" t="str">
        <f t="shared" si="6"/>
        <v>029C001204.01</v>
      </c>
    </row>
    <row r="394" spans="1:8" x14ac:dyDescent="0.25">
      <c r="A394">
        <v>197</v>
      </c>
      <c r="B394" t="s">
        <v>187</v>
      </c>
      <c r="C394" t="s">
        <v>186</v>
      </c>
      <c r="D394" t="s">
        <v>988</v>
      </c>
      <c r="E394" t="s">
        <v>989</v>
      </c>
      <c r="F394" t="s">
        <v>990</v>
      </c>
      <c r="G394" t="s">
        <v>162</v>
      </c>
      <c r="H394" t="str">
        <f t="shared" si="6"/>
        <v>029C001928.00</v>
      </c>
    </row>
    <row r="395" spans="1:8" x14ac:dyDescent="0.25">
      <c r="A395">
        <v>197</v>
      </c>
      <c r="B395" t="s">
        <v>187</v>
      </c>
      <c r="C395" t="s">
        <v>186</v>
      </c>
      <c r="D395" t="s">
        <v>988</v>
      </c>
      <c r="E395" t="s">
        <v>989</v>
      </c>
      <c r="F395" t="s">
        <v>990</v>
      </c>
      <c r="G395" t="s">
        <v>162</v>
      </c>
      <c r="H395" t="str">
        <f t="shared" si="6"/>
        <v>029C001928.01</v>
      </c>
    </row>
    <row r="396" spans="1:8" x14ac:dyDescent="0.25">
      <c r="A396">
        <v>198</v>
      </c>
      <c r="B396" t="s">
        <v>631</v>
      </c>
      <c r="C396" t="s">
        <v>630</v>
      </c>
      <c r="D396" t="s">
        <v>988</v>
      </c>
      <c r="E396" t="s">
        <v>989</v>
      </c>
      <c r="F396" t="s">
        <v>990</v>
      </c>
      <c r="G396" t="s">
        <v>621</v>
      </c>
      <c r="H396" t="str">
        <f t="shared" si="6"/>
        <v>029C001758.00</v>
      </c>
    </row>
    <row r="397" spans="1:8" x14ac:dyDescent="0.25">
      <c r="A397">
        <v>198</v>
      </c>
      <c r="B397" t="s">
        <v>631</v>
      </c>
      <c r="C397" t="s">
        <v>630</v>
      </c>
      <c r="D397" t="s">
        <v>988</v>
      </c>
      <c r="E397" t="s">
        <v>989</v>
      </c>
      <c r="F397" t="s">
        <v>990</v>
      </c>
      <c r="G397" t="s">
        <v>621</v>
      </c>
      <c r="H397" t="str">
        <f t="shared" si="6"/>
        <v>029C001758.01</v>
      </c>
    </row>
    <row r="398" spans="1:8" x14ac:dyDescent="0.25">
      <c r="A398">
        <v>199</v>
      </c>
      <c r="B398" t="s">
        <v>645</v>
      </c>
      <c r="C398" t="s">
        <v>644</v>
      </c>
      <c r="D398" t="s">
        <v>988</v>
      </c>
      <c r="E398" t="s">
        <v>989</v>
      </c>
      <c r="F398" t="s">
        <v>990</v>
      </c>
      <c r="G398" t="s">
        <v>621</v>
      </c>
      <c r="H398" t="str">
        <f t="shared" si="6"/>
        <v>029C001767.00</v>
      </c>
    </row>
    <row r="399" spans="1:8" x14ac:dyDescent="0.25">
      <c r="A399">
        <v>199</v>
      </c>
      <c r="B399" t="s">
        <v>645</v>
      </c>
      <c r="C399" t="s">
        <v>644</v>
      </c>
      <c r="D399" t="s">
        <v>988</v>
      </c>
      <c r="E399" t="s">
        <v>989</v>
      </c>
      <c r="F399" t="s">
        <v>990</v>
      </c>
      <c r="G399" t="s">
        <v>621</v>
      </c>
      <c r="H399" t="str">
        <f t="shared" si="6"/>
        <v>029C001767.01</v>
      </c>
    </row>
    <row r="400" spans="1:8" x14ac:dyDescent="0.25">
      <c r="A400">
        <v>200</v>
      </c>
      <c r="B400" t="s">
        <v>205</v>
      </c>
      <c r="C400" t="s">
        <v>204</v>
      </c>
      <c r="D400" t="s">
        <v>988</v>
      </c>
      <c r="E400" t="s">
        <v>989</v>
      </c>
      <c r="F400" t="s">
        <v>990</v>
      </c>
      <c r="G400" t="s">
        <v>162</v>
      </c>
      <c r="H400" t="str">
        <f t="shared" si="6"/>
        <v>029C002004.00</v>
      </c>
    </row>
    <row r="401" spans="1:8" x14ac:dyDescent="0.25">
      <c r="A401">
        <v>200</v>
      </c>
      <c r="B401" t="s">
        <v>205</v>
      </c>
      <c r="C401" t="s">
        <v>204</v>
      </c>
      <c r="D401" t="s">
        <v>988</v>
      </c>
      <c r="E401" t="s">
        <v>989</v>
      </c>
      <c r="F401" t="s">
        <v>990</v>
      </c>
      <c r="G401" t="s">
        <v>162</v>
      </c>
      <c r="H401" t="str">
        <f t="shared" si="6"/>
        <v>029C002004.01</v>
      </c>
    </row>
    <row r="402" spans="1:8" x14ac:dyDescent="0.25">
      <c r="A402">
        <v>201</v>
      </c>
      <c r="B402" t="s">
        <v>131</v>
      </c>
      <c r="C402" t="s">
        <v>130</v>
      </c>
      <c r="D402" t="s">
        <v>988</v>
      </c>
      <c r="E402" t="s">
        <v>989</v>
      </c>
      <c r="F402" t="s">
        <v>990</v>
      </c>
      <c r="G402" t="s">
        <v>619</v>
      </c>
      <c r="H402" t="str">
        <f t="shared" si="6"/>
        <v>029C000952.00</v>
      </c>
    </row>
    <row r="403" spans="1:8" x14ac:dyDescent="0.25">
      <c r="A403">
        <v>201</v>
      </c>
      <c r="B403" t="s">
        <v>131</v>
      </c>
      <c r="C403" t="s">
        <v>130</v>
      </c>
      <c r="D403" t="s">
        <v>988</v>
      </c>
      <c r="E403" t="s">
        <v>989</v>
      </c>
      <c r="F403" t="s">
        <v>990</v>
      </c>
      <c r="G403" t="s">
        <v>619</v>
      </c>
      <c r="H403" t="str">
        <f t="shared" si="6"/>
        <v>029C000952.01</v>
      </c>
    </row>
    <row r="404" spans="1:8" x14ac:dyDescent="0.25">
      <c r="A404">
        <v>202</v>
      </c>
      <c r="B404" t="s">
        <v>300</v>
      </c>
      <c r="C404" t="s">
        <v>299</v>
      </c>
      <c r="D404" t="s">
        <v>988</v>
      </c>
      <c r="E404" t="s">
        <v>989</v>
      </c>
      <c r="F404" t="s">
        <v>990</v>
      </c>
      <c r="G404" t="s">
        <v>224</v>
      </c>
      <c r="H404" t="str">
        <f t="shared" si="6"/>
        <v>029C001209.00</v>
      </c>
    </row>
    <row r="405" spans="1:8" x14ac:dyDescent="0.25">
      <c r="A405">
        <v>202</v>
      </c>
      <c r="B405" t="s">
        <v>300</v>
      </c>
      <c r="C405" t="s">
        <v>299</v>
      </c>
      <c r="D405" t="s">
        <v>988</v>
      </c>
      <c r="E405" t="s">
        <v>989</v>
      </c>
      <c r="F405" t="s">
        <v>990</v>
      </c>
      <c r="G405" t="s">
        <v>224</v>
      </c>
      <c r="H405" t="str">
        <f t="shared" si="6"/>
        <v>029C001209.01</v>
      </c>
    </row>
    <row r="406" spans="1:8" x14ac:dyDescent="0.25">
      <c r="A406">
        <v>203</v>
      </c>
      <c r="B406" t="s">
        <v>808</v>
      </c>
      <c r="C406" t="s">
        <v>807</v>
      </c>
      <c r="D406" t="s">
        <v>988</v>
      </c>
      <c r="E406" t="s">
        <v>989</v>
      </c>
      <c r="F406" t="s">
        <v>990</v>
      </c>
      <c r="G406" t="s">
        <v>804</v>
      </c>
      <c r="H406" t="str">
        <f t="shared" si="6"/>
        <v>029C003930.00</v>
      </c>
    </row>
    <row r="407" spans="1:8" x14ac:dyDescent="0.25">
      <c r="A407">
        <v>203</v>
      </c>
      <c r="B407" t="s">
        <v>808</v>
      </c>
      <c r="C407" t="s">
        <v>807</v>
      </c>
      <c r="D407" t="s">
        <v>988</v>
      </c>
      <c r="E407" t="s">
        <v>989</v>
      </c>
      <c r="F407" t="s">
        <v>990</v>
      </c>
      <c r="G407" t="s">
        <v>804</v>
      </c>
      <c r="H407" t="str">
        <f t="shared" si="6"/>
        <v>029C003930.01</v>
      </c>
    </row>
    <row r="408" spans="1:8" x14ac:dyDescent="0.25">
      <c r="A408">
        <v>204</v>
      </c>
      <c r="B408" t="s">
        <v>169</v>
      </c>
      <c r="C408" t="s">
        <v>168</v>
      </c>
      <c r="D408" t="s">
        <v>988</v>
      </c>
      <c r="E408" t="s">
        <v>989</v>
      </c>
      <c r="F408" t="s">
        <v>990</v>
      </c>
      <c r="G408" t="s">
        <v>162</v>
      </c>
      <c r="H408" t="str">
        <f t="shared" si="6"/>
        <v>029C001301.00</v>
      </c>
    </row>
    <row r="409" spans="1:8" x14ac:dyDescent="0.25">
      <c r="A409">
        <v>204</v>
      </c>
      <c r="B409" t="s">
        <v>169</v>
      </c>
      <c r="C409" t="s">
        <v>168</v>
      </c>
      <c r="D409" t="s">
        <v>988</v>
      </c>
      <c r="E409" t="s">
        <v>989</v>
      </c>
      <c r="F409" t="s">
        <v>990</v>
      </c>
      <c r="G409" t="s">
        <v>162</v>
      </c>
      <c r="H409" t="str">
        <f t="shared" si="6"/>
        <v>029C001301.01</v>
      </c>
    </row>
    <row r="410" spans="1:8" x14ac:dyDescent="0.25">
      <c r="A410">
        <v>205</v>
      </c>
      <c r="B410" t="s">
        <v>789</v>
      </c>
      <c r="C410" t="s">
        <v>788</v>
      </c>
      <c r="D410" t="s">
        <v>988</v>
      </c>
      <c r="E410" t="s">
        <v>989</v>
      </c>
      <c r="F410" t="s">
        <v>990</v>
      </c>
      <c r="G410" t="s">
        <v>224</v>
      </c>
      <c r="H410" t="str">
        <f t="shared" si="6"/>
        <v>029C003331.00</v>
      </c>
    </row>
    <row r="411" spans="1:8" x14ac:dyDescent="0.25">
      <c r="A411">
        <v>205</v>
      </c>
      <c r="B411" t="s">
        <v>789</v>
      </c>
      <c r="C411" t="s">
        <v>788</v>
      </c>
      <c r="D411" t="s">
        <v>988</v>
      </c>
      <c r="E411" t="s">
        <v>989</v>
      </c>
      <c r="F411" t="s">
        <v>990</v>
      </c>
      <c r="G411" t="s">
        <v>224</v>
      </c>
      <c r="H411" t="str">
        <f t="shared" si="6"/>
        <v>029C003331.01</v>
      </c>
    </row>
    <row r="412" spans="1:8" x14ac:dyDescent="0.25">
      <c r="A412">
        <v>206</v>
      </c>
      <c r="B412" t="s">
        <v>781</v>
      </c>
      <c r="C412" t="s">
        <v>780</v>
      </c>
      <c r="D412" t="s">
        <v>988</v>
      </c>
      <c r="E412" t="s">
        <v>989</v>
      </c>
      <c r="F412" t="s">
        <v>990</v>
      </c>
      <c r="G412" t="s">
        <v>224</v>
      </c>
      <c r="H412" t="str">
        <f t="shared" si="6"/>
        <v>029C003325.00</v>
      </c>
    </row>
    <row r="413" spans="1:8" x14ac:dyDescent="0.25">
      <c r="A413">
        <v>206</v>
      </c>
      <c r="B413" t="s">
        <v>781</v>
      </c>
      <c r="C413" t="s">
        <v>780</v>
      </c>
      <c r="D413" t="s">
        <v>988</v>
      </c>
      <c r="E413" t="s">
        <v>989</v>
      </c>
      <c r="F413" t="s">
        <v>990</v>
      </c>
      <c r="G413" t="s">
        <v>224</v>
      </c>
      <c r="H413" t="str">
        <f t="shared" si="6"/>
        <v>029C003325.01</v>
      </c>
    </row>
    <row r="414" spans="1:8" x14ac:dyDescent="0.25">
      <c r="A414">
        <v>207</v>
      </c>
      <c r="B414" t="s">
        <v>408</v>
      </c>
      <c r="C414" t="s">
        <v>407</v>
      </c>
      <c r="D414" t="s">
        <v>988</v>
      </c>
      <c r="E414" t="s">
        <v>989</v>
      </c>
      <c r="F414" t="s">
        <v>990</v>
      </c>
      <c r="G414" t="s">
        <v>384</v>
      </c>
      <c r="H414" t="str">
        <f t="shared" si="6"/>
        <v>029C361828.00</v>
      </c>
    </row>
    <row r="415" spans="1:8" x14ac:dyDescent="0.25">
      <c r="A415">
        <v>207</v>
      </c>
      <c r="B415" t="s">
        <v>408</v>
      </c>
      <c r="C415" t="s">
        <v>407</v>
      </c>
      <c r="D415" t="s">
        <v>988</v>
      </c>
      <c r="E415" t="s">
        <v>989</v>
      </c>
      <c r="F415" t="s">
        <v>990</v>
      </c>
      <c r="G415" t="s">
        <v>384</v>
      </c>
      <c r="H415" t="str">
        <f t="shared" si="6"/>
        <v>029C361828.01</v>
      </c>
    </row>
    <row r="416" spans="1:8" x14ac:dyDescent="0.25">
      <c r="A416">
        <v>208</v>
      </c>
      <c r="B416" t="s">
        <v>112</v>
      </c>
      <c r="C416" t="s">
        <v>111</v>
      </c>
      <c r="D416" t="s">
        <v>988</v>
      </c>
      <c r="E416" t="s">
        <v>989</v>
      </c>
      <c r="F416" t="s">
        <v>990</v>
      </c>
      <c r="G416" t="s">
        <v>83</v>
      </c>
      <c r="H416" t="str">
        <f t="shared" si="6"/>
        <v>029C256424.00</v>
      </c>
    </row>
    <row r="417" spans="1:8" x14ac:dyDescent="0.25">
      <c r="A417">
        <v>208</v>
      </c>
      <c r="B417" t="s">
        <v>112</v>
      </c>
      <c r="C417" t="s">
        <v>111</v>
      </c>
      <c r="D417" t="s">
        <v>988</v>
      </c>
      <c r="E417" t="s">
        <v>989</v>
      </c>
      <c r="F417" t="s">
        <v>990</v>
      </c>
      <c r="G417" t="s">
        <v>83</v>
      </c>
      <c r="H417" t="str">
        <f t="shared" si="6"/>
        <v>029C256424.01</v>
      </c>
    </row>
    <row r="418" spans="1:8" x14ac:dyDescent="0.25">
      <c r="A418">
        <v>209</v>
      </c>
      <c r="B418" t="s">
        <v>812</v>
      </c>
      <c r="C418" t="s">
        <v>811</v>
      </c>
      <c r="D418" t="s">
        <v>988</v>
      </c>
      <c r="E418" t="s">
        <v>989</v>
      </c>
      <c r="F418" t="s">
        <v>990</v>
      </c>
      <c r="G418" t="s">
        <v>621</v>
      </c>
      <c r="H418" t="str">
        <f t="shared" si="6"/>
        <v>029C004151.00</v>
      </c>
    </row>
    <row r="419" spans="1:8" x14ac:dyDescent="0.25">
      <c r="A419">
        <v>209</v>
      </c>
      <c r="B419" t="s">
        <v>812</v>
      </c>
      <c r="C419" t="s">
        <v>811</v>
      </c>
      <c r="D419" t="s">
        <v>988</v>
      </c>
      <c r="E419" t="s">
        <v>989</v>
      </c>
      <c r="F419" t="s">
        <v>990</v>
      </c>
      <c r="G419" t="s">
        <v>621</v>
      </c>
      <c r="H419" t="str">
        <f t="shared" si="6"/>
        <v>029C004151.01</v>
      </c>
    </row>
    <row r="420" spans="1:8" x14ac:dyDescent="0.25">
      <c r="A420">
        <v>210</v>
      </c>
      <c r="B420" t="s">
        <v>747</v>
      </c>
      <c r="C420" t="s">
        <v>746</v>
      </c>
      <c r="D420" t="s">
        <v>988</v>
      </c>
      <c r="E420" t="s">
        <v>989</v>
      </c>
      <c r="F420" t="s">
        <v>990</v>
      </c>
      <c r="G420" t="s">
        <v>713</v>
      </c>
      <c r="H420" t="str">
        <f t="shared" si="6"/>
        <v>029C002344.00</v>
      </c>
    </row>
    <row r="421" spans="1:8" x14ac:dyDescent="0.25">
      <c r="A421">
        <v>210</v>
      </c>
      <c r="B421" t="s">
        <v>747</v>
      </c>
      <c r="C421" t="s">
        <v>746</v>
      </c>
      <c r="D421" t="s">
        <v>988</v>
      </c>
      <c r="E421" t="s">
        <v>989</v>
      </c>
      <c r="F421" t="s">
        <v>990</v>
      </c>
      <c r="G421" t="s">
        <v>713</v>
      </c>
      <c r="H421" t="str">
        <f t="shared" si="6"/>
        <v>029C002344.01</v>
      </c>
    </row>
    <row r="422" spans="1:8" x14ac:dyDescent="0.25">
      <c r="A422">
        <v>211</v>
      </c>
      <c r="B422" t="s">
        <v>733</v>
      </c>
      <c r="C422" t="s">
        <v>732</v>
      </c>
      <c r="D422" t="s">
        <v>988</v>
      </c>
      <c r="E422" t="s">
        <v>989</v>
      </c>
      <c r="F422" t="s">
        <v>990</v>
      </c>
      <c r="G422" t="s">
        <v>487</v>
      </c>
      <c r="H422" t="str">
        <f t="shared" si="6"/>
        <v>029C002334.00</v>
      </c>
    </row>
    <row r="423" spans="1:8" x14ac:dyDescent="0.25">
      <c r="A423">
        <v>211</v>
      </c>
      <c r="B423" t="s">
        <v>733</v>
      </c>
      <c r="C423" t="s">
        <v>732</v>
      </c>
      <c r="D423" t="s">
        <v>988</v>
      </c>
      <c r="E423" t="s">
        <v>989</v>
      </c>
      <c r="F423" t="s">
        <v>990</v>
      </c>
      <c r="G423" t="s">
        <v>487</v>
      </c>
      <c r="H423" t="str">
        <f t="shared" si="6"/>
        <v>029C002334.01</v>
      </c>
    </row>
    <row r="424" spans="1:8" x14ac:dyDescent="0.25">
      <c r="A424">
        <v>212</v>
      </c>
      <c r="B424" t="s">
        <v>691</v>
      </c>
      <c r="C424" t="s">
        <v>690</v>
      </c>
      <c r="D424" t="s">
        <v>988</v>
      </c>
      <c r="E424" t="s">
        <v>989</v>
      </c>
      <c r="F424" t="s">
        <v>990</v>
      </c>
      <c r="G424" t="s">
        <v>621</v>
      </c>
      <c r="H424" t="str">
        <f t="shared" si="6"/>
        <v>029C002035.00</v>
      </c>
    </row>
    <row r="425" spans="1:8" x14ac:dyDescent="0.25">
      <c r="A425">
        <v>212</v>
      </c>
      <c r="B425" t="s">
        <v>691</v>
      </c>
      <c r="C425" t="s">
        <v>690</v>
      </c>
      <c r="D425" t="s">
        <v>988</v>
      </c>
      <c r="E425" t="s">
        <v>989</v>
      </c>
      <c r="F425" t="s">
        <v>990</v>
      </c>
      <c r="G425" t="s">
        <v>621</v>
      </c>
      <c r="H425" t="str">
        <f t="shared" si="6"/>
        <v>029C002035.01</v>
      </c>
    </row>
    <row r="426" spans="1:8" x14ac:dyDescent="0.25">
      <c r="A426">
        <v>213</v>
      </c>
      <c r="B426" t="s">
        <v>759</v>
      </c>
      <c r="C426" t="s">
        <v>758</v>
      </c>
      <c r="D426" t="s">
        <v>988</v>
      </c>
      <c r="E426" t="s">
        <v>989</v>
      </c>
      <c r="F426" t="s">
        <v>990</v>
      </c>
      <c r="G426" t="s">
        <v>621</v>
      </c>
      <c r="H426" t="str">
        <f t="shared" si="6"/>
        <v>029C002371.00</v>
      </c>
    </row>
    <row r="427" spans="1:8" x14ac:dyDescent="0.25">
      <c r="A427">
        <v>213</v>
      </c>
      <c r="B427" t="s">
        <v>759</v>
      </c>
      <c r="C427" t="s">
        <v>758</v>
      </c>
      <c r="D427" t="s">
        <v>988</v>
      </c>
      <c r="E427" t="s">
        <v>989</v>
      </c>
      <c r="F427" t="s">
        <v>990</v>
      </c>
      <c r="G427" t="s">
        <v>621</v>
      </c>
      <c r="H427" t="str">
        <f t="shared" si="6"/>
        <v>029C002371.01</v>
      </c>
    </row>
    <row r="428" spans="1:8" x14ac:dyDescent="0.25">
      <c r="A428">
        <v>214</v>
      </c>
      <c r="B428" t="s">
        <v>42</v>
      </c>
      <c r="C428" t="s">
        <v>41</v>
      </c>
      <c r="D428" t="s">
        <v>988</v>
      </c>
      <c r="E428" t="s">
        <v>989</v>
      </c>
      <c r="F428" t="s">
        <v>990</v>
      </c>
      <c r="H428" t="str">
        <f t="shared" si="6"/>
        <v>029C002587.00</v>
      </c>
    </row>
    <row r="429" spans="1:8" x14ac:dyDescent="0.25">
      <c r="A429">
        <v>214</v>
      </c>
      <c r="B429" t="s">
        <v>42</v>
      </c>
      <c r="C429" t="s">
        <v>41</v>
      </c>
      <c r="D429" t="s">
        <v>988</v>
      </c>
      <c r="E429" t="s">
        <v>989</v>
      </c>
      <c r="F429" t="s">
        <v>990</v>
      </c>
      <c r="H429" t="str">
        <f t="shared" si="6"/>
        <v>029C002587.01</v>
      </c>
    </row>
    <row r="430" spans="1:8" x14ac:dyDescent="0.25">
      <c r="A430">
        <v>215</v>
      </c>
      <c r="B430" t="s">
        <v>779</v>
      </c>
      <c r="C430" t="s">
        <v>778</v>
      </c>
      <c r="D430" t="s">
        <v>988</v>
      </c>
      <c r="E430" t="s">
        <v>989</v>
      </c>
      <c r="F430" t="s">
        <v>990</v>
      </c>
      <c r="G430" t="s">
        <v>621</v>
      </c>
      <c r="H430" t="str">
        <f t="shared" si="6"/>
        <v>029C003322.00</v>
      </c>
    </row>
    <row r="431" spans="1:8" x14ac:dyDescent="0.25">
      <c r="A431">
        <v>215</v>
      </c>
      <c r="B431" t="s">
        <v>779</v>
      </c>
      <c r="C431" t="s">
        <v>778</v>
      </c>
      <c r="D431" t="s">
        <v>988</v>
      </c>
      <c r="E431" t="s">
        <v>989</v>
      </c>
      <c r="F431" t="s">
        <v>990</v>
      </c>
      <c r="G431" t="s">
        <v>621</v>
      </c>
      <c r="H431" t="str">
        <f t="shared" si="6"/>
        <v>029C003322.01</v>
      </c>
    </row>
    <row r="432" spans="1:8" x14ac:dyDescent="0.25">
      <c r="A432">
        <v>216</v>
      </c>
      <c r="B432" t="s">
        <v>414</v>
      </c>
      <c r="C432" t="s">
        <v>413</v>
      </c>
      <c r="D432" t="s">
        <v>988</v>
      </c>
      <c r="E432" t="s">
        <v>989</v>
      </c>
      <c r="F432" t="s">
        <v>990</v>
      </c>
      <c r="G432" t="s">
        <v>384</v>
      </c>
      <c r="H432" t="str">
        <f t="shared" si="6"/>
        <v>029C214692.00</v>
      </c>
    </row>
    <row r="433" spans="1:8" x14ac:dyDescent="0.25">
      <c r="A433">
        <v>216</v>
      </c>
      <c r="B433" t="s">
        <v>414</v>
      </c>
      <c r="C433" t="s">
        <v>413</v>
      </c>
      <c r="D433" t="s">
        <v>988</v>
      </c>
      <c r="E433" t="s">
        <v>989</v>
      </c>
      <c r="F433" t="s">
        <v>990</v>
      </c>
      <c r="G433" t="s">
        <v>384</v>
      </c>
      <c r="H433" t="str">
        <f t="shared" si="6"/>
        <v>029C214692.01</v>
      </c>
    </row>
    <row r="434" spans="1:8" x14ac:dyDescent="0.25">
      <c r="A434">
        <v>217</v>
      </c>
      <c r="B434" t="s">
        <v>54</v>
      </c>
      <c r="C434" t="s">
        <v>53</v>
      </c>
      <c r="D434" t="s">
        <v>988</v>
      </c>
      <c r="E434" t="s">
        <v>989</v>
      </c>
      <c r="F434" t="s">
        <v>990</v>
      </c>
      <c r="H434" t="str">
        <f t="shared" si="6"/>
        <v>029C001826.00</v>
      </c>
    </row>
    <row r="435" spans="1:8" x14ac:dyDescent="0.25">
      <c r="A435">
        <v>217</v>
      </c>
      <c r="B435" t="s">
        <v>54</v>
      </c>
      <c r="C435" t="s">
        <v>53</v>
      </c>
      <c r="D435" t="s">
        <v>988</v>
      </c>
      <c r="E435" t="s">
        <v>989</v>
      </c>
      <c r="F435" t="s">
        <v>990</v>
      </c>
      <c r="H435" t="str">
        <f t="shared" si="6"/>
        <v>029C001826.01</v>
      </c>
    </row>
    <row r="436" spans="1:8" x14ac:dyDescent="0.25">
      <c r="A436">
        <v>218</v>
      </c>
      <c r="B436" t="s">
        <v>504</v>
      </c>
      <c r="C436" t="s">
        <v>507</v>
      </c>
      <c r="D436" t="s">
        <v>988</v>
      </c>
      <c r="E436" t="s">
        <v>989</v>
      </c>
      <c r="F436" t="s">
        <v>990</v>
      </c>
      <c r="G436" t="s">
        <v>504</v>
      </c>
      <c r="H436" t="str">
        <f t="shared" si="6"/>
        <v>029C270880.00</v>
      </c>
    </row>
    <row r="437" spans="1:8" x14ac:dyDescent="0.25">
      <c r="A437">
        <v>218</v>
      </c>
      <c r="B437" t="s">
        <v>504</v>
      </c>
      <c r="C437" t="s">
        <v>507</v>
      </c>
      <c r="D437" t="s">
        <v>988</v>
      </c>
      <c r="E437" t="s">
        <v>989</v>
      </c>
      <c r="F437" t="s">
        <v>990</v>
      </c>
      <c r="G437" t="s">
        <v>504</v>
      </c>
      <c r="H437" t="str">
        <f t="shared" si="6"/>
        <v>029C270880.01</v>
      </c>
    </row>
    <row r="438" spans="1:8" x14ac:dyDescent="0.25">
      <c r="A438">
        <v>219</v>
      </c>
      <c r="B438" t="s">
        <v>737</v>
      </c>
      <c r="C438" t="s">
        <v>736</v>
      </c>
      <c r="D438" t="s">
        <v>988</v>
      </c>
      <c r="E438" t="s">
        <v>989</v>
      </c>
      <c r="F438" t="s">
        <v>990</v>
      </c>
      <c r="G438" t="s">
        <v>224</v>
      </c>
      <c r="H438" t="str">
        <f t="shared" si="6"/>
        <v>029C002337.00</v>
      </c>
    </row>
    <row r="439" spans="1:8" x14ac:dyDescent="0.25">
      <c r="A439">
        <v>219</v>
      </c>
      <c r="B439" t="s">
        <v>737</v>
      </c>
      <c r="C439" t="s">
        <v>736</v>
      </c>
      <c r="D439" t="s">
        <v>988</v>
      </c>
      <c r="E439" t="s">
        <v>989</v>
      </c>
      <c r="F439" t="s">
        <v>990</v>
      </c>
      <c r="G439" t="s">
        <v>224</v>
      </c>
      <c r="H439" t="str">
        <f t="shared" si="6"/>
        <v>029C002337.01</v>
      </c>
    </row>
    <row r="440" spans="1:8" x14ac:dyDescent="0.25">
      <c r="A440">
        <v>220</v>
      </c>
      <c r="B440" t="s">
        <v>822</v>
      </c>
      <c r="C440" t="s">
        <v>821</v>
      </c>
      <c r="D440" t="s">
        <v>988</v>
      </c>
      <c r="E440" t="s">
        <v>989</v>
      </c>
      <c r="F440" t="s">
        <v>990</v>
      </c>
      <c r="G440" t="s">
        <v>621</v>
      </c>
      <c r="H440" t="str">
        <f t="shared" si="6"/>
        <v>029C020347.00</v>
      </c>
    </row>
    <row r="441" spans="1:8" x14ac:dyDescent="0.25">
      <c r="A441">
        <v>220</v>
      </c>
      <c r="B441" t="s">
        <v>822</v>
      </c>
      <c r="C441" t="s">
        <v>821</v>
      </c>
      <c r="D441" t="s">
        <v>988</v>
      </c>
      <c r="E441" t="s">
        <v>989</v>
      </c>
      <c r="F441" t="s">
        <v>990</v>
      </c>
      <c r="G441" t="s">
        <v>621</v>
      </c>
      <c r="H441" t="str">
        <f t="shared" si="6"/>
        <v>029C020347.01</v>
      </c>
    </row>
    <row r="442" spans="1:8" x14ac:dyDescent="0.25">
      <c r="A442">
        <v>221</v>
      </c>
      <c r="B442" t="s">
        <v>162</v>
      </c>
      <c r="C442" t="s">
        <v>165</v>
      </c>
      <c r="D442" t="s">
        <v>988</v>
      </c>
      <c r="E442" t="s">
        <v>989</v>
      </c>
      <c r="F442" t="s">
        <v>990</v>
      </c>
      <c r="G442" t="s">
        <v>162</v>
      </c>
      <c r="H442" t="str">
        <f t="shared" si="6"/>
        <v>029C001017.00</v>
      </c>
    </row>
    <row r="443" spans="1:8" x14ac:dyDescent="0.25">
      <c r="A443">
        <v>221</v>
      </c>
      <c r="B443" t="s">
        <v>162</v>
      </c>
      <c r="C443" t="s">
        <v>165</v>
      </c>
      <c r="D443" t="s">
        <v>988</v>
      </c>
      <c r="E443" t="s">
        <v>989</v>
      </c>
      <c r="F443" t="s">
        <v>990</v>
      </c>
      <c r="G443" t="s">
        <v>162</v>
      </c>
      <c r="H443" t="str">
        <f t="shared" si="6"/>
        <v>029C001017.01</v>
      </c>
    </row>
    <row r="444" spans="1:8" x14ac:dyDescent="0.25">
      <c r="A444">
        <v>222</v>
      </c>
      <c r="B444" t="s">
        <v>213</v>
      </c>
      <c r="C444" t="s">
        <v>212</v>
      </c>
      <c r="D444" t="s">
        <v>988</v>
      </c>
      <c r="E444" t="s">
        <v>989</v>
      </c>
      <c r="F444" t="s">
        <v>990</v>
      </c>
      <c r="G444" t="s">
        <v>162</v>
      </c>
      <c r="H444" t="str">
        <f t="shared" si="6"/>
        <v>029C190802.00</v>
      </c>
    </row>
    <row r="445" spans="1:8" x14ac:dyDescent="0.25">
      <c r="A445">
        <v>222</v>
      </c>
      <c r="B445" t="s">
        <v>213</v>
      </c>
      <c r="C445" t="s">
        <v>212</v>
      </c>
      <c r="D445" t="s">
        <v>988</v>
      </c>
      <c r="E445" t="s">
        <v>989</v>
      </c>
      <c r="F445" t="s">
        <v>990</v>
      </c>
      <c r="G445" t="s">
        <v>162</v>
      </c>
      <c r="H445" t="str">
        <f t="shared" si="6"/>
        <v>029C190802.01</v>
      </c>
    </row>
    <row r="446" spans="1:8" x14ac:dyDescent="0.25">
      <c r="A446">
        <v>223</v>
      </c>
      <c r="B446" t="s">
        <v>478</v>
      </c>
      <c r="C446" t="s">
        <v>477</v>
      </c>
      <c r="D446" t="s">
        <v>988</v>
      </c>
      <c r="E446" t="s">
        <v>989</v>
      </c>
      <c r="F446" t="s">
        <v>990</v>
      </c>
      <c r="G446" t="s">
        <v>474</v>
      </c>
      <c r="H446" t="str">
        <f t="shared" si="6"/>
        <v>029C002390.00</v>
      </c>
    </row>
    <row r="447" spans="1:8" x14ac:dyDescent="0.25">
      <c r="A447">
        <v>223</v>
      </c>
      <c r="B447" t="s">
        <v>478</v>
      </c>
      <c r="C447" t="s">
        <v>477</v>
      </c>
      <c r="D447" t="s">
        <v>988</v>
      </c>
      <c r="E447" t="s">
        <v>989</v>
      </c>
      <c r="F447" t="s">
        <v>990</v>
      </c>
      <c r="G447" t="s">
        <v>474</v>
      </c>
      <c r="H447" t="str">
        <f t="shared" si="6"/>
        <v>029C002390.01</v>
      </c>
    </row>
    <row r="448" spans="1:8" x14ac:dyDescent="0.25">
      <c r="A448">
        <v>224</v>
      </c>
      <c r="B448" t="s">
        <v>795</v>
      </c>
      <c r="C448" t="s">
        <v>794</v>
      </c>
      <c r="D448" t="s">
        <v>988</v>
      </c>
      <c r="E448" t="s">
        <v>989</v>
      </c>
      <c r="F448" t="s">
        <v>990</v>
      </c>
      <c r="G448" t="s">
        <v>224</v>
      </c>
      <c r="H448" t="str">
        <f t="shared" si="6"/>
        <v>029C003738.00</v>
      </c>
    </row>
    <row r="449" spans="1:8" x14ac:dyDescent="0.25">
      <c r="A449">
        <v>224</v>
      </c>
      <c r="B449" t="s">
        <v>795</v>
      </c>
      <c r="C449" t="s">
        <v>794</v>
      </c>
      <c r="D449" t="s">
        <v>988</v>
      </c>
      <c r="E449" t="s">
        <v>989</v>
      </c>
      <c r="F449" t="s">
        <v>990</v>
      </c>
      <c r="G449" t="s">
        <v>224</v>
      </c>
      <c r="H449" t="str">
        <f t="shared" si="6"/>
        <v>029C003738.01</v>
      </c>
    </row>
    <row r="450" spans="1:8" x14ac:dyDescent="0.25">
      <c r="A450">
        <v>225</v>
      </c>
      <c r="B450" t="s">
        <v>785</v>
      </c>
      <c r="C450" t="s">
        <v>784</v>
      </c>
      <c r="D450" t="s">
        <v>988</v>
      </c>
      <c r="E450" t="s">
        <v>989</v>
      </c>
      <c r="F450" t="s">
        <v>990</v>
      </c>
      <c r="G450" t="s">
        <v>224</v>
      </c>
      <c r="H450" t="str">
        <f t="shared" ref="H450:H513" si="7">C450&amp;IF(MOD(ROW(),2)=0,".00",".01")</f>
        <v>029C003328.00</v>
      </c>
    </row>
    <row r="451" spans="1:8" x14ac:dyDescent="0.25">
      <c r="A451">
        <v>225</v>
      </c>
      <c r="B451" t="s">
        <v>785</v>
      </c>
      <c r="C451" t="s">
        <v>784</v>
      </c>
      <c r="D451" t="s">
        <v>988</v>
      </c>
      <c r="E451" t="s">
        <v>989</v>
      </c>
      <c r="F451" t="s">
        <v>990</v>
      </c>
      <c r="G451" t="s">
        <v>224</v>
      </c>
      <c r="H451" t="str">
        <f t="shared" si="7"/>
        <v>029C003328.01</v>
      </c>
    </row>
    <row r="452" spans="1:8" x14ac:dyDescent="0.25">
      <c r="A452">
        <v>226</v>
      </c>
      <c r="B452" t="s">
        <v>441</v>
      </c>
      <c r="C452" t="s">
        <v>440</v>
      </c>
      <c r="D452" t="s">
        <v>988</v>
      </c>
      <c r="E452" t="s">
        <v>989</v>
      </c>
      <c r="F452" t="s">
        <v>990</v>
      </c>
      <c r="G452" t="s">
        <v>421</v>
      </c>
      <c r="H452" t="str">
        <f t="shared" si="7"/>
        <v>029C001877.00</v>
      </c>
    </row>
    <row r="453" spans="1:8" x14ac:dyDescent="0.25">
      <c r="A453">
        <v>226</v>
      </c>
      <c r="B453" t="s">
        <v>441</v>
      </c>
      <c r="C453" t="s">
        <v>440</v>
      </c>
      <c r="D453" t="s">
        <v>988</v>
      </c>
      <c r="E453" t="s">
        <v>989</v>
      </c>
      <c r="F453" t="s">
        <v>990</v>
      </c>
      <c r="G453" t="s">
        <v>421</v>
      </c>
      <c r="H453" t="str">
        <f t="shared" si="7"/>
        <v>029C001877.01</v>
      </c>
    </row>
    <row r="454" spans="1:8" x14ac:dyDescent="0.25">
      <c r="A454">
        <v>227</v>
      </c>
      <c r="B454" t="s">
        <v>48</v>
      </c>
      <c r="C454" t="s">
        <v>47</v>
      </c>
      <c r="D454" t="s">
        <v>988</v>
      </c>
      <c r="E454" t="s">
        <v>989</v>
      </c>
      <c r="F454" t="s">
        <v>990</v>
      </c>
      <c r="H454" t="str">
        <f t="shared" si="7"/>
        <v>029C001819.00</v>
      </c>
    </row>
    <row r="455" spans="1:8" x14ac:dyDescent="0.25">
      <c r="A455">
        <v>227</v>
      </c>
      <c r="B455" t="s">
        <v>48</v>
      </c>
      <c r="C455" t="s">
        <v>47</v>
      </c>
      <c r="D455" t="s">
        <v>988</v>
      </c>
      <c r="E455" t="s">
        <v>989</v>
      </c>
      <c r="F455" t="s">
        <v>990</v>
      </c>
      <c r="H455" t="str">
        <f t="shared" si="7"/>
        <v>029C001819.01</v>
      </c>
    </row>
    <row r="456" spans="1:8" x14ac:dyDescent="0.25">
      <c r="A456">
        <v>228</v>
      </c>
      <c r="B456" t="s">
        <v>185</v>
      </c>
      <c r="C456" t="s">
        <v>184</v>
      </c>
      <c r="D456" t="s">
        <v>988</v>
      </c>
      <c r="E456" t="s">
        <v>989</v>
      </c>
      <c r="F456" t="s">
        <v>990</v>
      </c>
      <c r="G456" t="s">
        <v>162</v>
      </c>
      <c r="H456" t="str">
        <f t="shared" si="7"/>
        <v>029C001915.00</v>
      </c>
    </row>
    <row r="457" spans="1:8" x14ac:dyDescent="0.25">
      <c r="A457">
        <v>228</v>
      </c>
      <c r="B457" t="s">
        <v>185</v>
      </c>
      <c r="C457" t="s">
        <v>184</v>
      </c>
      <c r="D457" t="s">
        <v>988</v>
      </c>
      <c r="E457" t="s">
        <v>989</v>
      </c>
      <c r="F457" t="s">
        <v>990</v>
      </c>
      <c r="G457" t="s">
        <v>162</v>
      </c>
      <c r="H457" t="str">
        <f t="shared" si="7"/>
        <v>029C001915.01</v>
      </c>
    </row>
    <row r="458" spans="1:8" x14ac:dyDescent="0.25">
      <c r="A458">
        <v>229</v>
      </c>
      <c r="B458" t="s">
        <v>189</v>
      </c>
      <c r="C458" t="s">
        <v>188</v>
      </c>
      <c r="D458" t="s">
        <v>988</v>
      </c>
      <c r="E458" t="s">
        <v>989</v>
      </c>
      <c r="F458" t="s">
        <v>990</v>
      </c>
      <c r="G458" t="s">
        <v>162</v>
      </c>
      <c r="H458" t="str">
        <f t="shared" si="7"/>
        <v>029C001935.00</v>
      </c>
    </row>
    <row r="459" spans="1:8" x14ac:dyDescent="0.25">
      <c r="A459">
        <v>229</v>
      </c>
      <c r="B459" t="s">
        <v>189</v>
      </c>
      <c r="C459" t="s">
        <v>188</v>
      </c>
      <c r="D459" t="s">
        <v>988</v>
      </c>
      <c r="E459" t="s">
        <v>989</v>
      </c>
      <c r="F459" t="s">
        <v>990</v>
      </c>
      <c r="G459" t="s">
        <v>162</v>
      </c>
      <c r="H459" t="str">
        <f t="shared" si="7"/>
        <v>029C001935.01</v>
      </c>
    </row>
    <row r="460" spans="1:8" x14ac:dyDescent="0.25">
      <c r="A460">
        <v>230</v>
      </c>
      <c r="B460" t="s">
        <v>810</v>
      </c>
      <c r="C460" t="s">
        <v>809</v>
      </c>
      <c r="D460" t="s">
        <v>988</v>
      </c>
      <c r="E460" t="s">
        <v>989</v>
      </c>
      <c r="F460" t="s">
        <v>990</v>
      </c>
      <c r="G460" t="s">
        <v>540</v>
      </c>
      <c r="H460" t="str">
        <f t="shared" si="7"/>
        <v>029C003931.00</v>
      </c>
    </row>
    <row r="461" spans="1:8" x14ac:dyDescent="0.25">
      <c r="A461">
        <v>230</v>
      </c>
      <c r="B461" t="s">
        <v>810</v>
      </c>
      <c r="C461" t="s">
        <v>809</v>
      </c>
      <c r="D461" t="s">
        <v>988</v>
      </c>
      <c r="E461" t="s">
        <v>989</v>
      </c>
      <c r="F461" t="s">
        <v>990</v>
      </c>
      <c r="G461" t="s">
        <v>540</v>
      </c>
      <c r="H461" t="str">
        <f t="shared" si="7"/>
        <v>029C003931.01</v>
      </c>
    </row>
    <row r="462" spans="1:8" x14ac:dyDescent="0.25">
      <c r="A462">
        <v>231</v>
      </c>
      <c r="B462" t="s">
        <v>74</v>
      </c>
      <c r="C462" t="s">
        <v>843</v>
      </c>
      <c r="D462" t="s">
        <v>988</v>
      </c>
      <c r="E462" t="s">
        <v>989</v>
      </c>
      <c r="F462" t="s">
        <v>990</v>
      </c>
      <c r="G462" t="s">
        <v>224</v>
      </c>
      <c r="H462" t="str">
        <f t="shared" si="7"/>
        <v>029C135791.00</v>
      </c>
    </row>
    <row r="463" spans="1:8" x14ac:dyDescent="0.25">
      <c r="A463">
        <v>231</v>
      </c>
      <c r="B463" t="s">
        <v>74</v>
      </c>
      <c r="C463" t="s">
        <v>843</v>
      </c>
      <c r="D463" t="s">
        <v>988</v>
      </c>
      <c r="E463" t="s">
        <v>989</v>
      </c>
      <c r="F463" t="s">
        <v>990</v>
      </c>
      <c r="G463" t="s">
        <v>224</v>
      </c>
      <c r="H463" t="str">
        <f t="shared" si="7"/>
        <v>029C135791.01</v>
      </c>
    </row>
    <row r="464" spans="1:8" x14ac:dyDescent="0.25">
      <c r="A464">
        <v>232</v>
      </c>
      <c r="B464" t="s">
        <v>72</v>
      </c>
      <c r="C464" t="s">
        <v>71</v>
      </c>
      <c r="D464" t="s">
        <v>988</v>
      </c>
      <c r="E464" t="s">
        <v>989</v>
      </c>
      <c r="F464" t="s">
        <v>990</v>
      </c>
      <c r="H464" t="str">
        <f t="shared" si="7"/>
        <v>029C381368.00</v>
      </c>
    </row>
    <row r="465" spans="1:8" x14ac:dyDescent="0.25">
      <c r="A465">
        <v>232</v>
      </c>
      <c r="B465" t="s">
        <v>72</v>
      </c>
      <c r="C465" t="s">
        <v>71</v>
      </c>
      <c r="D465" t="s">
        <v>988</v>
      </c>
      <c r="E465" t="s">
        <v>989</v>
      </c>
      <c r="F465" t="s">
        <v>990</v>
      </c>
      <c r="H465" t="str">
        <f t="shared" si="7"/>
        <v>029C381368.01</v>
      </c>
    </row>
    <row r="466" spans="1:8" x14ac:dyDescent="0.25">
      <c r="A466">
        <v>233</v>
      </c>
      <c r="B466" t="s">
        <v>818</v>
      </c>
      <c r="C466" t="s">
        <v>817</v>
      </c>
      <c r="D466" t="s">
        <v>988</v>
      </c>
      <c r="E466" t="s">
        <v>989</v>
      </c>
      <c r="F466" t="s">
        <v>990</v>
      </c>
      <c r="G466" t="s">
        <v>224</v>
      </c>
      <c r="H466" t="str">
        <f t="shared" si="7"/>
        <v>029C010368.00</v>
      </c>
    </row>
    <row r="467" spans="1:8" x14ac:dyDescent="0.25">
      <c r="A467">
        <v>233</v>
      </c>
      <c r="B467" t="s">
        <v>818</v>
      </c>
      <c r="C467" t="s">
        <v>817</v>
      </c>
      <c r="D467" t="s">
        <v>988</v>
      </c>
      <c r="E467" t="s">
        <v>989</v>
      </c>
      <c r="F467" t="s">
        <v>990</v>
      </c>
      <c r="G467" t="s">
        <v>224</v>
      </c>
      <c r="H467" t="str">
        <f t="shared" si="7"/>
        <v>029C010368.01</v>
      </c>
    </row>
    <row r="468" spans="1:8" x14ac:dyDescent="0.25">
      <c r="A468">
        <v>234</v>
      </c>
      <c r="B468" t="s">
        <v>318</v>
      </c>
      <c r="C468" t="s">
        <v>317</v>
      </c>
      <c r="D468" t="s">
        <v>988</v>
      </c>
      <c r="E468" t="s">
        <v>989</v>
      </c>
      <c r="F468" t="s">
        <v>990</v>
      </c>
      <c r="G468" t="s">
        <v>224</v>
      </c>
      <c r="H468" t="str">
        <f t="shared" si="7"/>
        <v>029C040858.00</v>
      </c>
    </row>
    <row r="469" spans="1:8" x14ac:dyDescent="0.25">
      <c r="A469">
        <v>234</v>
      </c>
      <c r="B469" t="s">
        <v>318</v>
      </c>
      <c r="C469" t="s">
        <v>317</v>
      </c>
      <c r="D469" t="s">
        <v>988</v>
      </c>
      <c r="E469" t="s">
        <v>989</v>
      </c>
      <c r="F469" t="s">
        <v>990</v>
      </c>
      <c r="G469" t="s">
        <v>224</v>
      </c>
      <c r="H469" t="str">
        <f t="shared" si="7"/>
        <v>029C040858.01</v>
      </c>
    </row>
    <row r="470" spans="1:8" x14ac:dyDescent="0.25">
      <c r="A470">
        <v>235</v>
      </c>
      <c r="B470" t="s">
        <v>687</v>
      </c>
      <c r="C470" t="s">
        <v>686</v>
      </c>
      <c r="D470" t="s">
        <v>988</v>
      </c>
      <c r="E470" t="s">
        <v>989</v>
      </c>
      <c r="F470" t="s">
        <v>990</v>
      </c>
      <c r="G470" t="s">
        <v>621</v>
      </c>
      <c r="H470" t="str">
        <f t="shared" si="7"/>
        <v>029C002020.00</v>
      </c>
    </row>
    <row r="471" spans="1:8" x14ac:dyDescent="0.25">
      <c r="A471">
        <v>235</v>
      </c>
      <c r="B471" t="s">
        <v>687</v>
      </c>
      <c r="C471" t="s">
        <v>686</v>
      </c>
      <c r="D471" t="s">
        <v>988</v>
      </c>
      <c r="E471" t="s">
        <v>989</v>
      </c>
      <c r="F471" t="s">
        <v>990</v>
      </c>
      <c r="G471" t="s">
        <v>621</v>
      </c>
      <c r="H471" t="str">
        <f t="shared" si="7"/>
        <v>029C002020.01</v>
      </c>
    </row>
    <row r="472" spans="1:8" x14ac:dyDescent="0.25">
      <c r="A472">
        <v>236</v>
      </c>
      <c r="B472" t="s">
        <v>50</v>
      </c>
      <c r="C472" t="s">
        <v>49</v>
      </c>
      <c r="D472" t="s">
        <v>988</v>
      </c>
      <c r="E472" t="s">
        <v>989</v>
      </c>
      <c r="F472" t="s">
        <v>990</v>
      </c>
      <c r="H472" t="str">
        <f t="shared" si="7"/>
        <v>029C108899.00</v>
      </c>
    </row>
    <row r="473" spans="1:8" x14ac:dyDescent="0.25">
      <c r="A473">
        <v>236</v>
      </c>
      <c r="B473" t="s">
        <v>50</v>
      </c>
      <c r="C473" t="s">
        <v>49</v>
      </c>
      <c r="D473" t="s">
        <v>988</v>
      </c>
      <c r="E473" t="s">
        <v>989</v>
      </c>
      <c r="F473" t="s">
        <v>990</v>
      </c>
      <c r="H473" t="str">
        <f t="shared" si="7"/>
        <v>029C108899.01</v>
      </c>
    </row>
    <row r="474" spans="1:8" x14ac:dyDescent="0.25">
      <c r="A474">
        <v>237</v>
      </c>
      <c r="B474" t="s">
        <v>357</v>
      </c>
      <c r="C474" t="s">
        <v>356</v>
      </c>
      <c r="D474" t="s">
        <v>988</v>
      </c>
      <c r="E474" t="s">
        <v>989</v>
      </c>
      <c r="F474" t="s">
        <v>990</v>
      </c>
      <c r="G474" t="s">
        <v>224</v>
      </c>
      <c r="H474" t="str">
        <f t="shared" si="7"/>
        <v>029C220612.00</v>
      </c>
    </row>
    <row r="475" spans="1:8" x14ac:dyDescent="0.25">
      <c r="A475">
        <v>237</v>
      </c>
      <c r="B475" t="s">
        <v>357</v>
      </c>
      <c r="C475" t="s">
        <v>356</v>
      </c>
      <c r="D475" t="s">
        <v>988</v>
      </c>
      <c r="E475" t="s">
        <v>989</v>
      </c>
      <c r="F475" t="s">
        <v>990</v>
      </c>
      <c r="G475" t="s">
        <v>224</v>
      </c>
      <c r="H475" t="str">
        <f t="shared" si="7"/>
        <v>029C220612.01</v>
      </c>
    </row>
    <row r="476" spans="1:8" x14ac:dyDescent="0.25">
      <c r="A476">
        <v>238</v>
      </c>
      <c r="B476" t="s">
        <v>4</v>
      </c>
      <c r="C476" t="s">
        <v>703</v>
      </c>
      <c r="D476" t="s">
        <v>988</v>
      </c>
      <c r="E476" t="s">
        <v>989</v>
      </c>
      <c r="F476" t="s">
        <v>990</v>
      </c>
      <c r="G476" t="s">
        <v>162</v>
      </c>
      <c r="H476" t="str">
        <f t="shared" si="7"/>
        <v>029C002266.00</v>
      </c>
    </row>
    <row r="477" spans="1:8" x14ac:dyDescent="0.25">
      <c r="A477">
        <v>238</v>
      </c>
      <c r="B477" t="s">
        <v>4</v>
      </c>
      <c r="C477" t="s">
        <v>703</v>
      </c>
      <c r="D477" t="s">
        <v>988</v>
      </c>
      <c r="E477" t="s">
        <v>989</v>
      </c>
      <c r="F477" t="s">
        <v>990</v>
      </c>
      <c r="G477" t="s">
        <v>162</v>
      </c>
      <c r="H477" t="str">
        <f t="shared" si="7"/>
        <v>029C002266.01</v>
      </c>
    </row>
    <row r="478" spans="1:8" x14ac:dyDescent="0.25">
      <c r="A478">
        <v>239</v>
      </c>
      <c r="B478" t="s">
        <v>787</v>
      </c>
      <c r="C478" t="s">
        <v>786</v>
      </c>
      <c r="D478" t="s">
        <v>988</v>
      </c>
      <c r="E478" t="s">
        <v>989</v>
      </c>
      <c r="F478" t="s">
        <v>990</v>
      </c>
      <c r="G478" t="s">
        <v>224</v>
      </c>
      <c r="H478" t="str">
        <f t="shared" si="7"/>
        <v>029C003329.00</v>
      </c>
    </row>
    <row r="479" spans="1:8" x14ac:dyDescent="0.25">
      <c r="A479">
        <v>239</v>
      </c>
      <c r="B479" t="s">
        <v>787</v>
      </c>
      <c r="C479" t="s">
        <v>786</v>
      </c>
      <c r="D479" t="s">
        <v>988</v>
      </c>
      <c r="E479" t="s">
        <v>989</v>
      </c>
      <c r="F479" t="s">
        <v>990</v>
      </c>
      <c r="G479" t="s">
        <v>224</v>
      </c>
      <c r="H479" t="str">
        <f t="shared" si="7"/>
        <v>029C003329.01</v>
      </c>
    </row>
    <row r="480" spans="1:8" x14ac:dyDescent="0.25">
      <c r="A480">
        <v>240</v>
      </c>
      <c r="B480" t="s">
        <v>853</v>
      </c>
      <c r="C480" t="s">
        <v>852</v>
      </c>
      <c r="D480" t="s">
        <v>988</v>
      </c>
      <c r="E480" t="s">
        <v>989</v>
      </c>
      <c r="F480" t="s">
        <v>990</v>
      </c>
      <c r="G480" t="s">
        <v>487</v>
      </c>
      <c r="H480" t="str">
        <f t="shared" si="7"/>
        <v>029C180705.00</v>
      </c>
    </row>
    <row r="481" spans="1:8" x14ac:dyDescent="0.25">
      <c r="A481">
        <v>240</v>
      </c>
      <c r="B481" t="s">
        <v>853</v>
      </c>
      <c r="C481" t="s">
        <v>852</v>
      </c>
      <c r="D481" t="s">
        <v>988</v>
      </c>
      <c r="E481" t="s">
        <v>989</v>
      </c>
      <c r="F481" t="s">
        <v>990</v>
      </c>
      <c r="G481" t="s">
        <v>487</v>
      </c>
      <c r="H481" t="str">
        <f t="shared" si="7"/>
        <v>029C180705.01</v>
      </c>
    </row>
    <row r="482" spans="1:8" x14ac:dyDescent="0.25">
      <c r="A482">
        <v>241</v>
      </c>
      <c r="B482" t="s">
        <v>316</v>
      </c>
      <c r="C482" t="s">
        <v>315</v>
      </c>
      <c r="D482" t="s">
        <v>988</v>
      </c>
      <c r="E482" t="s">
        <v>989</v>
      </c>
      <c r="F482" t="s">
        <v>990</v>
      </c>
      <c r="G482" t="s">
        <v>224</v>
      </c>
      <c r="H482" t="str">
        <f t="shared" si="7"/>
        <v>029C001203.00</v>
      </c>
    </row>
    <row r="483" spans="1:8" x14ac:dyDescent="0.25">
      <c r="A483">
        <v>241</v>
      </c>
      <c r="B483" t="s">
        <v>316</v>
      </c>
      <c r="C483" t="s">
        <v>315</v>
      </c>
      <c r="D483" t="s">
        <v>988</v>
      </c>
      <c r="E483" t="s">
        <v>989</v>
      </c>
      <c r="F483" t="s">
        <v>990</v>
      </c>
      <c r="G483" t="s">
        <v>224</v>
      </c>
      <c r="H483" t="str">
        <f t="shared" si="7"/>
        <v>029C001203.01</v>
      </c>
    </row>
    <row r="484" spans="1:8" x14ac:dyDescent="0.25">
      <c r="A484">
        <v>242</v>
      </c>
      <c r="B484" t="s">
        <v>649</v>
      </c>
      <c r="C484" t="s">
        <v>648</v>
      </c>
      <c r="D484" t="s">
        <v>988</v>
      </c>
      <c r="E484" t="s">
        <v>989</v>
      </c>
      <c r="F484" t="s">
        <v>990</v>
      </c>
      <c r="G484" t="s">
        <v>621</v>
      </c>
      <c r="H484" t="str">
        <f t="shared" si="7"/>
        <v>029C001799.00</v>
      </c>
    </row>
    <row r="485" spans="1:8" x14ac:dyDescent="0.25">
      <c r="A485">
        <v>242</v>
      </c>
      <c r="B485" t="s">
        <v>649</v>
      </c>
      <c r="C485" t="s">
        <v>648</v>
      </c>
      <c r="D485" t="s">
        <v>988</v>
      </c>
      <c r="E485" t="s">
        <v>989</v>
      </c>
      <c r="F485" t="s">
        <v>990</v>
      </c>
      <c r="G485" t="s">
        <v>621</v>
      </c>
      <c r="H485" t="str">
        <f t="shared" si="7"/>
        <v>029C001799.01</v>
      </c>
    </row>
    <row r="486" spans="1:8" x14ac:dyDescent="0.25">
      <c r="A486">
        <v>243</v>
      </c>
      <c r="B486" t="s">
        <v>324</v>
      </c>
      <c r="C486" t="s">
        <v>323</v>
      </c>
      <c r="D486" t="s">
        <v>988</v>
      </c>
      <c r="E486" t="s">
        <v>989</v>
      </c>
      <c r="F486" t="s">
        <v>990</v>
      </c>
      <c r="G486" t="s">
        <v>224</v>
      </c>
      <c r="H486" t="str">
        <f t="shared" si="7"/>
        <v>029C021207.00</v>
      </c>
    </row>
    <row r="487" spans="1:8" x14ac:dyDescent="0.25">
      <c r="A487">
        <v>243</v>
      </c>
      <c r="B487" t="s">
        <v>324</v>
      </c>
      <c r="C487" t="s">
        <v>323</v>
      </c>
      <c r="D487" t="s">
        <v>988</v>
      </c>
      <c r="E487" t="s">
        <v>989</v>
      </c>
      <c r="F487" t="s">
        <v>990</v>
      </c>
      <c r="G487" t="s">
        <v>224</v>
      </c>
      <c r="H487" t="str">
        <f t="shared" si="7"/>
        <v>029C021207.01</v>
      </c>
    </row>
    <row r="488" spans="1:8" x14ac:dyDescent="0.25">
      <c r="A488">
        <v>244</v>
      </c>
      <c r="B488" t="s">
        <v>52</v>
      </c>
      <c r="C488" t="s">
        <v>51</v>
      </c>
      <c r="D488" t="s">
        <v>988</v>
      </c>
      <c r="E488" t="s">
        <v>989</v>
      </c>
      <c r="F488" t="s">
        <v>990</v>
      </c>
      <c r="H488" t="str">
        <f t="shared" si="7"/>
        <v>029C188668.00</v>
      </c>
    </row>
    <row r="489" spans="1:8" x14ac:dyDescent="0.25">
      <c r="A489">
        <v>244</v>
      </c>
      <c r="B489" t="s">
        <v>52</v>
      </c>
      <c r="C489" t="s">
        <v>51</v>
      </c>
      <c r="D489" t="s">
        <v>988</v>
      </c>
      <c r="E489" t="s">
        <v>989</v>
      </c>
      <c r="F489" t="s">
        <v>990</v>
      </c>
      <c r="H489" t="str">
        <f t="shared" si="7"/>
        <v>029C188668.01</v>
      </c>
    </row>
    <row r="490" spans="1:8" x14ac:dyDescent="0.25">
      <c r="A490">
        <v>245</v>
      </c>
      <c r="B490" t="s">
        <v>410</v>
      </c>
      <c r="C490" t="s">
        <v>409</v>
      </c>
      <c r="D490" t="s">
        <v>988</v>
      </c>
      <c r="E490" t="s">
        <v>989</v>
      </c>
      <c r="F490" t="s">
        <v>990</v>
      </c>
      <c r="G490" t="s">
        <v>384</v>
      </c>
      <c r="H490" t="str">
        <f t="shared" si="7"/>
        <v>029C001598.00</v>
      </c>
    </row>
    <row r="491" spans="1:8" x14ac:dyDescent="0.25">
      <c r="A491">
        <v>245</v>
      </c>
      <c r="B491" t="s">
        <v>410</v>
      </c>
      <c r="C491" t="s">
        <v>409</v>
      </c>
      <c r="D491" t="s">
        <v>988</v>
      </c>
      <c r="E491" t="s">
        <v>989</v>
      </c>
      <c r="F491" t="s">
        <v>990</v>
      </c>
      <c r="G491" t="s">
        <v>384</v>
      </c>
      <c r="H491" t="str">
        <f t="shared" si="7"/>
        <v>029C001598.01</v>
      </c>
    </row>
    <row r="492" spans="1:8" x14ac:dyDescent="0.25">
      <c r="A492">
        <v>246</v>
      </c>
      <c r="B492" t="s">
        <v>412</v>
      </c>
      <c r="C492" t="s">
        <v>411</v>
      </c>
      <c r="D492" t="s">
        <v>988</v>
      </c>
      <c r="E492" t="s">
        <v>989</v>
      </c>
      <c r="F492" t="s">
        <v>990</v>
      </c>
      <c r="G492" t="s">
        <v>384</v>
      </c>
      <c r="H492" t="str">
        <f t="shared" si="7"/>
        <v>029C001565.00</v>
      </c>
    </row>
    <row r="493" spans="1:8" x14ac:dyDescent="0.25">
      <c r="A493">
        <v>246</v>
      </c>
      <c r="B493" t="s">
        <v>412</v>
      </c>
      <c r="C493" t="s">
        <v>411</v>
      </c>
      <c r="D493" t="s">
        <v>988</v>
      </c>
      <c r="E493" t="s">
        <v>989</v>
      </c>
      <c r="F493" t="s">
        <v>990</v>
      </c>
      <c r="G493" t="s">
        <v>384</v>
      </c>
      <c r="H493" t="str">
        <f t="shared" si="7"/>
        <v>029C001565.01</v>
      </c>
    </row>
    <row r="494" spans="1:8" x14ac:dyDescent="0.25">
      <c r="A494">
        <v>247</v>
      </c>
      <c r="B494" t="s">
        <v>197</v>
      </c>
      <c r="C494" t="s">
        <v>196</v>
      </c>
      <c r="D494" t="s">
        <v>988</v>
      </c>
      <c r="E494" t="s">
        <v>989</v>
      </c>
      <c r="F494" t="s">
        <v>990</v>
      </c>
      <c r="G494" t="s">
        <v>162</v>
      </c>
      <c r="H494" t="str">
        <f t="shared" si="7"/>
        <v>029C001952.00</v>
      </c>
    </row>
    <row r="495" spans="1:8" x14ac:dyDescent="0.25">
      <c r="A495">
        <v>247</v>
      </c>
      <c r="B495" t="s">
        <v>197</v>
      </c>
      <c r="C495" t="s">
        <v>196</v>
      </c>
      <c r="D495" t="s">
        <v>988</v>
      </c>
      <c r="E495" t="s">
        <v>989</v>
      </c>
      <c r="F495" t="s">
        <v>990</v>
      </c>
      <c r="G495" t="s">
        <v>162</v>
      </c>
      <c r="H495" t="str">
        <f t="shared" si="7"/>
        <v>029C001952.01</v>
      </c>
    </row>
    <row r="496" spans="1:8" x14ac:dyDescent="0.25">
      <c r="A496">
        <v>248</v>
      </c>
      <c r="B496" t="s">
        <v>46</v>
      </c>
      <c r="C496" t="s">
        <v>45</v>
      </c>
      <c r="D496" t="s">
        <v>988</v>
      </c>
      <c r="E496" t="s">
        <v>989</v>
      </c>
      <c r="F496" t="s">
        <v>990</v>
      </c>
      <c r="H496" t="str">
        <f t="shared" si="7"/>
        <v>029C001010.00</v>
      </c>
    </row>
    <row r="497" spans="1:8" x14ac:dyDescent="0.25">
      <c r="A497">
        <v>248</v>
      </c>
      <c r="B497" t="s">
        <v>46</v>
      </c>
      <c r="C497" t="s">
        <v>45</v>
      </c>
      <c r="D497" t="s">
        <v>988</v>
      </c>
      <c r="E497" t="s">
        <v>989</v>
      </c>
      <c r="F497" t="s">
        <v>990</v>
      </c>
      <c r="H497" t="str">
        <f t="shared" si="7"/>
        <v>029C001010.01</v>
      </c>
    </row>
    <row r="498" spans="1:8" x14ac:dyDescent="0.25">
      <c r="A498">
        <v>249</v>
      </c>
      <c r="B498" t="s">
        <v>826</v>
      </c>
      <c r="C498" t="s">
        <v>825</v>
      </c>
      <c r="D498" t="s">
        <v>988</v>
      </c>
      <c r="E498" t="s">
        <v>989</v>
      </c>
      <c r="F498" t="s">
        <v>990</v>
      </c>
      <c r="G498" t="s">
        <v>621</v>
      </c>
      <c r="H498" t="str">
        <f t="shared" si="7"/>
        <v>029C070398.00</v>
      </c>
    </row>
    <row r="499" spans="1:8" x14ac:dyDescent="0.25">
      <c r="A499">
        <v>249</v>
      </c>
      <c r="B499" t="s">
        <v>826</v>
      </c>
      <c r="C499" t="s">
        <v>825</v>
      </c>
      <c r="D499" t="s">
        <v>988</v>
      </c>
      <c r="E499" t="s">
        <v>989</v>
      </c>
      <c r="F499" t="s">
        <v>990</v>
      </c>
      <c r="G499" t="s">
        <v>621</v>
      </c>
      <c r="H499" t="str">
        <f t="shared" si="7"/>
        <v>029C070398.01</v>
      </c>
    </row>
    <row r="500" spans="1:8" x14ac:dyDescent="0.25">
      <c r="A500">
        <v>250</v>
      </c>
      <c r="B500" t="s">
        <v>506</v>
      </c>
      <c r="C500" t="s">
        <v>505</v>
      </c>
      <c r="D500" t="s">
        <v>988</v>
      </c>
      <c r="E500" t="s">
        <v>989</v>
      </c>
      <c r="F500" t="s">
        <v>990</v>
      </c>
      <c r="G500" t="s">
        <v>504</v>
      </c>
      <c r="H500" t="str">
        <f t="shared" si="7"/>
        <v>029C002947.00</v>
      </c>
    </row>
    <row r="501" spans="1:8" x14ac:dyDescent="0.25">
      <c r="A501">
        <v>250</v>
      </c>
      <c r="B501" t="s">
        <v>506</v>
      </c>
      <c r="C501" t="s">
        <v>505</v>
      </c>
      <c r="D501" t="s">
        <v>988</v>
      </c>
      <c r="E501" t="s">
        <v>989</v>
      </c>
      <c r="F501" t="s">
        <v>990</v>
      </c>
      <c r="G501" t="s">
        <v>504</v>
      </c>
      <c r="H501" t="str">
        <f t="shared" si="7"/>
        <v>029C002947.01</v>
      </c>
    </row>
    <row r="502" spans="1:8" x14ac:dyDescent="0.25">
      <c r="A502">
        <v>251</v>
      </c>
      <c r="B502" t="s">
        <v>655</v>
      </c>
      <c r="C502" t="s">
        <v>654</v>
      </c>
      <c r="D502" t="s">
        <v>988</v>
      </c>
      <c r="E502" t="s">
        <v>989</v>
      </c>
      <c r="F502" t="s">
        <v>990</v>
      </c>
      <c r="G502" t="s">
        <v>621</v>
      </c>
      <c r="H502" t="str">
        <f t="shared" si="7"/>
        <v>029C001875.00</v>
      </c>
    </row>
    <row r="503" spans="1:8" x14ac:dyDescent="0.25">
      <c r="A503">
        <v>251</v>
      </c>
      <c r="B503" t="s">
        <v>655</v>
      </c>
      <c r="C503" t="s">
        <v>654</v>
      </c>
      <c r="D503" t="s">
        <v>988</v>
      </c>
      <c r="E503" t="s">
        <v>989</v>
      </c>
      <c r="F503" t="s">
        <v>990</v>
      </c>
      <c r="G503" t="s">
        <v>621</v>
      </c>
      <c r="H503" t="str">
        <f t="shared" si="7"/>
        <v>029C001875.01</v>
      </c>
    </row>
    <row r="504" spans="1:8" x14ac:dyDescent="0.25">
      <c r="A504">
        <v>252</v>
      </c>
      <c r="B504" t="s">
        <v>903</v>
      </c>
      <c r="C504" t="s">
        <v>902</v>
      </c>
      <c r="D504" t="s">
        <v>988</v>
      </c>
      <c r="E504" t="s">
        <v>989</v>
      </c>
      <c r="F504" t="s">
        <v>990</v>
      </c>
      <c r="G504" t="s">
        <v>621</v>
      </c>
      <c r="H504" t="str">
        <f t="shared" si="7"/>
        <v>029C442005.00</v>
      </c>
    </row>
    <row r="505" spans="1:8" x14ac:dyDescent="0.25">
      <c r="A505">
        <v>252</v>
      </c>
      <c r="B505" t="s">
        <v>903</v>
      </c>
      <c r="C505" t="s">
        <v>902</v>
      </c>
      <c r="D505" t="s">
        <v>988</v>
      </c>
      <c r="E505" t="s">
        <v>989</v>
      </c>
      <c r="F505" t="s">
        <v>990</v>
      </c>
      <c r="G505" t="s">
        <v>621</v>
      </c>
      <c r="H505" t="str">
        <f t="shared" si="7"/>
        <v>029C442005.01</v>
      </c>
    </row>
    <row r="506" spans="1:8" x14ac:dyDescent="0.25">
      <c r="A506">
        <v>253</v>
      </c>
      <c r="B506" t="s">
        <v>679</v>
      </c>
      <c r="C506" t="s">
        <v>678</v>
      </c>
      <c r="D506" t="s">
        <v>988</v>
      </c>
      <c r="E506" t="s">
        <v>989</v>
      </c>
      <c r="F506" t="s">
        <v>990</v>
      </c>
      <c r="G506" t="s">
        <v>621</v>
      </c>
      <c r="H506" t="str">
        <f t="shared" si="7"/>
        <v>029C001999.00</v>
      </c>
    </row>
    <row r="507" spans="1:8" x14ac:dyDescent="0.25">
      <c r="A507">
        <v>253</v>
      </c>
      <c r="B507" t="s">
        <v>679</v>
      </c>
      <c r="C507" t="s">
        <v>678</v>
      </c>
      <c r="D507" t="s">
        <v>988</v>
      </c>
      <c r="E507" t="s">
        <v>989</v>
      </c>
      <c r="F507" t="s">
        <v>990</v>
      </c>
      <c r="G507" t="s">
        <v>621</v>
      </c>
      <c r="H507" t="str">
        <f t="shared" si="7"/>
        <v>029C001999.01</v>
      </c>
    </row>
    <row r="508" spans="1:8" x14ac:dyDescent="0.25">
      <c r="A508">
        <v>254</v>
      </c>
      <c r="B508" t="s">
        <v>177</v>
      </c>
      <c r="C508" t="s">
        <v>176</v>
      </c>
      <c r="D508" t="s">
        <v>988</v>
      </c>
      <c r="E508" t="s">
        <v>989</v>
      </c>
      <c r="F508" t="s">
        <v>990</v>
      </c>
      <c r="G508" t="s">
        <v>162</v>
      </c>
      <c r="H508" t="str">
        <f t="shared" si="7"/>
        <v>029C001844.00</v>
      </c>
    </row>
    <row r="509" spans="1:8" x14ac:dyDescent="0.25">
      <c r="A509">
        <v>254</v>
      </c>
      <c r="B509" t="s">
        <v>177</v>
      </c>
      <c r="C509" t="s">
        <v>176</v>
      </c>
      <c r="D509" t="s">
        <v>988</v>
      </c>
      <c r="E509" t="s">
        <v>989</v>
      </c>
      <c r="F509" t="s">
        <v>990</v>
      </c>
      <c r="G509" t="s">
        <v>162</v>
      </c>
      <c r="H509" t="str">
        <f t="shared" si="7"/>
        <v>029C001844.01</v>
      </c>
    </row>
    <row r="510" spans="1:8" x14ac:dyDescent="0.25">
      <c r="A510">
        <v>255</v>
      </c>
      <c r="B510" t="s">
        <v>175</v>
      </c>
      <c r="C510" t="s">
        <v>174</v>
      </c>
      <c r="D510" t="s">
        <v>988</v>
      </c>
      <c r="E510" t="s">
        <v>989</v>
      </c>
      <c r="F510" t="s">
        <v>990</v>
      </c>
      <c r="G510" t="s">
        <v>162</v>
      </c>
      <c r="H510" t="str">
        <f t="shared" si="7"/>
        <v>029C001843.00</v>
      </c>
    </row>
    <row r="511" spans="1:8" x14ac:dyDescent="0.25">
      <c r="A511">
        <v>255</v>
      </c>
      <c r="B511" t="s">
        <v>175</v>
      </c>
      <c r="C511" t="s">
        <v>174</v>
      </c>
      <c r="D511" t="s">
        <v>988</v>
      </c>
      <c r="E511" t="s">
        <v>989</v>
      </c>
      <c r="F511" t="s">
        <v>990</v>
      </c>
      <c r="G511" t="s">
        <v>162</v>
      </c>
      <c r="H511" t="str">
        <f t="shared" si="7"/>
        <v>029C001843.01</v>
      </c>
    </row>
    <row r="512" spans="1:8" x14ac:dyDescent="0.25">
      <c r="A512">
        <v>256</v>
      </c>
      <c r="B512" t="s">
        <v>755</v>
      </c>
      <c r="C512" t="s">
        <v>754</v>
      </c>
      <c r="D512" t="s">
        <v>988</v>
      </c>
      <c r="E512" t="s">
        <v>989</v>
      </c>
      <c r="F512" t="s">
        <v>990</v>
      </c>
      <c r="G512" t="s">
        <v>621</v>
      </c>
      <c r="H512" t="str">
        <f t="shared" si="7"/>
        <v>029C002358.00</v>
      </c>
    </row>
    <row r="513" spans="1:8" x14ac:dyDescent="0.25">
      <c r="A513">
        <v>256</v>
      </c>
      <c r="B513" t="s">
        <v>755</v>
      </c>
      <c r="C513" t="s">
        <v>754</v>
      </c>
      <c r="D513" t="s">
        <v>988</v>
      </c>
      <c r="E513" t="s">
        <v>989</v>
      </c>
      <c r="F513" t="s">
        <v>990</v>
      </c>
      <c r="G513" t="s">
        <v>621</v>
      </c>
      <c r="H513" t="str">
        <f t="shared" si="7"/>
        <v>029C002358.01</v>
      </c>
    </row>
    <row r="514" spans="1:8" x14ac:dyDescent="0.25">
      <c r="A514">
        <v>257</v>
      </c>
      <c r="B514" t="s">
        <v>338</v>
      </c>
      <c r="C514" t="s">
        <v>337</v>
      </c>
      <c r="D514" t="s">
        <v>988</v>
      </c>
      <c r="E514" t="s">
        <v>989</v>
      </c>
      <c r="F514" t="s">
        <v>990</v>
      </c>
      <c r="G514" t="s">
        <v>224</v>
      </c>
      <c r="H514" t="str">
        <f t="shared" ref="H514:H577" si="8">C514&amp;IF(MOD(ROW(),2)=0,".00",".01")</f>
        <v>029C001953.00</v>
      </c>
    </row>
    <row r="515" spans="1:8" x14ac:dyDescent="0.25">
      <c r="A515">
        <v>257</v>
      </c>
      <c r="B515" t="s">
        <v>338</v>
      </c>
      <c r="C515" t="s">
        <v>337</v>
      </c>
      <c r="D515" t="s">
        <v>988</v>
      </c>
      <c r="E515" t="s">
        <v>989</v>
      </c>
      <c r="F515" t="s">
        <v>990</v>
      </c>
      <c r="G515" t="s">
        <v>224</v>
      </c>
      <c r="H515" t="str">
        <f t="shared" si="8"/>
        <v>029C001953.01</v>
      </c>
    </row>
    <row r="516" spans="1:8" x14ac:dyDescent="0.25">
      <c r="A516">
        <v>258</v>
      </c>
      <c r="B516" t="s">
        <v>56</v>
      </c>
      <c r="C516" t="s">
        <v>55</v>
      </c>
      <c r="D516" t="s">
        <v>988</v>
      </c>
      <c r="E516" t="s">
        <v>989</v>
      </c>
      <c r="F516" t="s">
        <v>990</v>
      </c>
      <c r="H516" t="str">
        <f t="shared" si="8"/>
        <v>029C696969.00</v>
      </c>
    </row>
    <row r="517" spans="1:8" x14ac:dyDescent="0.25">
      <c r="A517">
        <v>258</v>
      </c>
      <c r="B517" t="s">
        <v>56</v>
      </c>
      <c r="C517" t="s">
        <v>55</v>
      </c>
      <c r="D517" t="s">
        <v>988</v>
      </c>
      <c r="E517" t="s">
        <v>989</v>
      </c>
      <c r="F517" t="s">
        <v>990</v>
      </c>
      <c r="H517" t="str">
        <f t="shared" si="8"/>
        <v>029C696969.01</v>
      </c>
    </row>
    <row r="518" spans="1:8" x14ac:dyDescent="0.25">
      <c r="A518">
        <v>259</v>
      </c>
      <c r="B518" t="s">
        <v>623</v>
      </c>
      <c r="C518" t="s">
        <v>622</v>
      </c>
      <c r="D518" t="s">
        <v>988</v>
      </c>
      <c r="E518" t="s">
        <v>989</v>
      </c>
      <c r="F518" t="s">
        <v>990</v>
      </c>
      <c r="G518" t="s">
        <v>623</v>
      </c>
      <c r="H518" t="str">
        <f t="shared" si="8"/>
        <v>029C001084.00</v>
      </c>
    </row>
    <row r="519" spans="1:8" x14ac:dyDescent="0.25">
      <c r="A519">
        <v>259</v>
      </c>
      <c r="B519" t="s">
        <v>623</v>
      </c>
      <c r="C519" t="s">
        <v>622</v>
      </c>
      <c r="D519" t="s">
        <v>988</v>
      </c>
      <c r="E519" t="s">
        <v>989</v>
      </c>
      <c r="F519" t="s">
        <v>990</v>
      </c>
      <c r="G519" t="s">
        <v>623</v>
      </c>
      <c r="H519" t="str">
        <f t="shared" si="8"/>
        <v>029C001084.01</v>
      </c>
    </row>
    <row r="520" spans="1:8" x14ac:dyDescent="0.25">
      <c r="A520">
        <v>260</v>
      </c>
      <c r="B520" t="s">
        <v>761</v>
      </c>
      <c r="C520" t="s">
        <v>760</v>
      </c>
      <c r="D520" t="s">
        <v>988</v>
      </c>
      <c r="E520" t="s">
        <v>989</v>
      </c>
      <c r="F520" t="s">
        <v>990</v>
      </c>
      <c r="G520" t="s">
        <v>621</v>
      </c>
      <c r="H520" t="str">
        <f t="shared" si="8"/>
        <v>029C002372.00</v>
      </c>
    </row>
    <row r="521" spans="1:8" x14ac:dyDescent="0.25">
      <c r="A521">
        <v>260</v>
      </c>
      <c r="B521" t="s">
        <v>761</v>
      </c>
      <c r="C521" t="s">
        <v>760</v>
      </c>
      <c r="D521" t="s">
        <v>988</v>
      </c>
      <c r="E521" t="s">
        <v>989</v>
      </c>
      <c r="F521" t="s">
        <v>990</v>
      </c>
      <c r="G521" t="s">
        <v>621</v>
      </c>
      <c r="H521" t="str">
        <f t="shared" si="8"/>
        <v>029C002372.01</v>
      </c>
    </row>
    <row r="522" spans="1:8" x14ac:dyDescent="0.25">
      <c r="A522">
        <v>261</v>
      </c>
      <c r="B522" t="s">
        <v>669</v>
      </c>
      <c r="C522" t="s">
        <v>668</v>
      </c>
      <c r="D522" t="s">
        <v>988</v>
      </c>
      <c r="E522" t="s">
        <v>989</v>
      </c>
      <c r="F522" t="s">
        <v>990</v>
      </c>
      <c r="G522" t="s">
        <v>621</v>
      </c>
      <c r="H522" t="str">
        <f t="shared" si="8"/>
        <v>029C001886.00</v>
      </c>
    </row>
    <row r="523" spans="1:8" x14ac:dyDescent="0.25">
      <c r="A523">
        <v>261</v>
      </c>
      <c r="B523" t="s">
        <v>669</v>
      </c>
      <c r="C523" t="s">
        <v>668</v>
      </c>
      <c r="D523" t="s">
        <v>988</v>
      </c>
      <c r="E523" t="s">
        <v>989</v>
      </c>
      <c r="F523" t="s">
        <v>990</v>
      </c>
      <c r="G523" t="s">
        <v>621</v>
      </c>
      <c r="H523" t="str">
        <f t="shared" si="8"/>
        <v>029C001886.01</v>
      </c>
    </row>
    <row r="524" spans="1:8" x14ac:dyDescent="0.25">
      <c r="A524">
        <v>265</v>
      </c>
      <c r="B524" t="s">
        <v>495</v>
      </c>
      <c r="C524" t="s">
        <v>494</v>
      </c>
      <c r="D524" t="s">
        <v>988</v>
      </c>
      <c r="E524" t="s">
        <v>989</v>
      </c>
      <c r="F524" t="s">
        <v>990</v>
      </c>
      <c r="G524" t="s">
        <v>487</v>
      </c>
      <c r="H524" t="str">
        <f t="shared" si="8"/>
        <v>029C014308.00</v>
      </c>
    </row>
    <row r="525" spans="1:8" x14ac:dyDescent="0.25">
      <c r="A525">
        <v>265</v>
      </c>
      <c r="B525" t="s">
        <v>495</v>
      </c>
      <c r="C525" t="s">
        <v>494</v>
      </c>
      <c r="D525" t="s">
        <v>988</v>
      </c>
      <c r="E525" t="s">
        <v>989</v>
      </c>
      <c r="F525" t="s">
        <v>990</v>
      </c>
      <c r="G525" t="s">
        <v>487</v>
      </c>
      <c r="H525" t="str">
        <f t="shared" si="8"/>
        <v>029C014308.01</v>
      </c>
    </row>
    <row r="526" spans="1:8" x14ac:dyDescent="0.25">
      <c r="A526">
        <v>266</v>
      </c>
      <c r="B526" t="s">
        <v>371</v>
      </c>
      <c r="C526" t="s">
        <v>370</v>
      </c>
      <c r="D526" t="s">
        <v>988</v>
      </c>
      <c r="E526" t="s">
        <v>989</v>
      </c>
      <c r="F526" t="s">
        <v>990</v>
      </c>
      <c r="G526" t="s">
        <v>224</v>
      </c>
      <c r="H526" t="str">
        <f t="shared" si="8"/>
        <v>029C018883.00</v>
      </c>
    </row>
    <row r="527" spans="1:8" x14ac:dyDescent="0.25">
      <c r="A527">
        <v>266</v>
      </c>
      <c r="B527" t="s">
        <v>371</v>
      </c>
      <c r="C527" t="s">
        <v>370</v>
      </c>
      <c r="D527" t="s">
        <v>988</v>
      </c>
      <c r="E527" t="s">
        <v>989</v>
      </c>
      <c r="F527" t="s">
        <v>990</v>
      </c>
      <c r="G527" t="s">
        <v>224</v>
      </c>
      <c r="H527" t="str">
        <f t="shared" si="8"/>
        <v>029C018883.01</v>
      </c>
    </row>
    <row r="528" spans="1:8" x14ac:dyDescent="0.25">
      <c r="A528">
        <v>267</v>
      </c>
      <c r="B528" t="s">
        <v>351</v>
      </c>
      <c r="C528" t="s">
        <v>350</v>
      </c>
      <c r="D528" t="s">
        <v>988</v>
      </c>
      <c r="E528" t="s">
        <v>989</v>
      </c>
      <c r="F528" t="s">
        <v>990</v>
      </c>
      <c r="G528" t="s">
        <v>224</v>
      </c>
      <c r="H528" t="str">
        <f t="shared" si="8"/>
        <v>029C003358.00</v>
      </c>
    </row>
    <row r="529" spans="1:8" x14ac:dyDescent="0.25">
      <c r="A529">
        <v>267</v>
      </c>
      <c r="B529" t="s">
        <v>351</v>
      </c>
      <c r="C529" t="s">
        <v>350</v>
      </c>
      <c r="D529" t="s">
        <v>988</v>
      </c>
      <c r="E529" t="s">
        <v>989</v>
      </c>
      <c r="F529" t="s">
        <v>990</v>
      </c>
      <c r="G529" t="s">
        <v>224</v>
      </c>
      <c r="H529" t="str">
        <f t="shared" si="8"/>
        <v>029C003358.01</v>
      </c>
    </row>
    <row r="530" spans="1:8" x14ac:dyDescent="0.25">
      <c r="A530">
        <v>268</v>
      </c>
      <c r="B530" t="s">
        <v>510</v>
      </c>
      <c r="C530" t="s">
        <v>0</v>
      </c>
      <c r="D530" t="s">
        <v>988</v>
      </c>
      <c r="E530" t="s">
        <v>989</v>
      </c>
      <c r="F530" t="s">
        <v>990</v>
      </c>
      <c r="G530" t="s">
        <v>504</v>
      </c>
      <c r="H530" t="str">
        <f t="shared" si="8"/>
        <v>029C002214.00</v>
      </c>
    </row>
    <row r="531" spans="1:8" x14ac:dyDescent="0.25">
      <c r="A531">
        <v>268</v>
      </c>
      <c r="B531" t="s">
        <v>510</v>
      </c>
      <c r="C531" t="s">
        <v>0</v>
      </c>
      <c r="D531" t="s">
        <v>988</v>
      </c>
      <c r="E531" t="s">
        <v>989</v>
      </c>
      <c r="F531" t="s">
        <v>990</v>
      </c>
      <c r="G531" t="s">
        <v>504</v>
      </c>
      <c r="H531" t="str">
        <f t="shared" si="8"/>
        <v>029C002214.01</v>
      </c>
    </row>
    <row r="532" spans="1:8" x14ac:dyDescent="0.25">
      <c r="A532">
        <v>269</v>
      </c>
      <c r="B532" t="s">
        <v>340</v>
      </c>
      <c r="C532" t="s">
        <v>339</v>
      </c>
      <c r="D532" t="s">
        <v>988</v>
      </c>
      <c r="E532" t="s">
        <v>989</v>
      </c>
      <c r="F532" t="s">
        <v>990</v>
      </c>
      <c r="G532" t="s">
        <v>224</v>
      </c>
      <c r="H532" t="str">
        <f t="shared" si="8"/>
        <v>029C181518.00</v>
      </c>
    </row>
    <row r="533" spans="1:8" x14ac:dyDescent="0.25">
      <c r="A533">
        <v>269</v>
      </c>
      <c r="B533" t="s">
        <v>340</v>
      </c>
      <c r="C533" t="s">
        <v>339</v>
      </c>
      <c r="D533" t="s">
        <v>988</v>
      </c>
      <c r="E533" t="s">
        <v>989</v>
      </c>
      <c r="F533" t="s">
        <v>990</v>
      </c>
      <c r="G533" t="s">
        <v>224</v>
      </c>
      <c r="H533" t="str">
        <f t="shared" si="8"/>
        <v>029C181518.01</v>
      </c>
    </row>
    <row r="534" spans="1:8" x14ac:dyDescent="0.25">
      <c r="A534">
        <v>270</v>
      </c>
      <c r="B534" t="s">
        <v>447</v>
      </c>
      <c r="C534" t="s">
        <v>446</v>
      </c>
      <c r="D534" t="s">
        <v>988</v>
      </c>
      <c r="E534" t="s">
        <v>989</v>
      </c>
      <c r="F534" t="s">
        <v>990</v>
      </c>
      <c r="G534" t="s">
        <v>421</v>
      </c>
      <c r="H534" t="str">
        <f t="shared" si="8"/>
        <v>029C186818.00</v>
      </c>
    </row>
    <row r="535" spans="1:8" x14ac:dyDescent="0.25">
      <c r="A535">
        <v>270</v>
      </c>
      <c r="B535" t="s">
        <v>447</v>
      </c>
      <c r="C535" t="s">
        <v>446</v>
      </c>
      <c r="D535" t="s">
        <v>988</v>
      </c>
      <c r="E535" t="s">
        <v>989</v>
      </c>
      <c r="F535" t="s">
        <v>990</v>
      </c>
      <c r="G535" t="s">
        <v>421</v>
      </c>
      <c r="H535" t="str">
        <f t="shared" si="8"/>
        <v>029C186818.01</v>
      </c>
    </row>
    <row r="536" spans="1:8" x14ac:dyDescent="0.25">
      <c r="A536">
        <v>271</v>
      </c>
      <c r="B536" t="s">
        <v>439</v>
      </c>
      <c r="C536" t="s">
        <v>438</v>
      </c>
      <c r="D536" t="s">
        <v>988</v>
      </c>
      <c r="E536" t="s">
        <v>989</v>
      </c>
      <c r="F536" t="s">
        <v>990</v>
      </c>
      <c r="G536" t="s">
        <v>421</v>
      </c>
      <c r="H536" t="str">
        <f t="shared" si="8"/>
        <v>029C001867.00</v>
      </c>
    </row>
    <row r="537" spans="1:8" x14ac:dyDescent="0.25">
      <c r="A537">
        <v>271</v>
      </c>
      <c r="B537" t="s">
        <v>439</v>
      </c>
      <c r="C537" t="s">
        <v>438</v>
      </c>
      <c r="D537" t="s">
        <v>988</v>
      </c>
      <c r="E537" t="s">
        <v>989</v>
      </c>
      <c r="F537" t="s">
        <v>990</v>
      </c>
      <c r="G537" t="s">
        <v>421</v>
      </c>
      <c r="H537" t="str">
        <f t="shared" si="8"/>
        <v>029C001867.01</v>
      </c>
    </row>
    <row r="538" spans="1:8" x14ac:dyDescent="0.25">
      <c r="A538">
        <v>272</v>
      </c>
      <c r="B538" t="s">
        <v>501</v>
      </c>
      <c r="C538" t="s">
        <v>500</v>
      </c>
      <c r="D538" t="s">
        <v>988</v>
      </c>
      <c r="E538" t="s">
        <v>989</v>
      </c>
      <c r="F538" t="s">
        <v>990</v>
      </c>
      <c r="G538" t="s">
        <v>487</v>
      </c>
      <c r="H538" t="str">
        <f t="shared" si="8"/>
        <v>029C181118.00</v>
      </c>
    </row>
    <row r="539" spans="1:8" x14ac:dyDescent="0.25">
      <c r="A539">
        <v>272</v>
      </c>
      <c r="B539" t="s">
        <v>501</v>
      </c>
      <c r="C539" t="s">
        <v>500</v>
      </c>
      <c r="D539" t="s">
        <v>988</v>
      </c>
      <c r="E539" t="s">
        <v>989</v>
      </c>
      <c r="F539" t="s">
        <v>990</v>
      </c>
      <c r="G539" t="s">
        <v>487</v>
      </c>
      <c r="H539" t="str">
        <f t="shared" si="8"/>
        <v>029C181118.01</v>
      </c>
    </row>
    <row r="540" spans="1:8" x14ac:dyDescent="0.25">
      <c r="A540">
        <v>273</v>
      </c>
      <c r="B540" t="s">
        <v>76</v>
      </c>
      <c r="C540" t="s">
        <v>75</v>
      </c>
      <c r="D540" t="s">
        <v>988</v>
      </c>
      <c r="E540" t="s">
        <v>989</v>
      </c>
      <c r="F540" t="s">
        <v>990</v>
      </c>
      <c r="H540" t="str">
        <f t="shared" si="8"/>
        <v>029C181318.00</v>
      </c>
    </row>
    <row r="541" spans="1:8" x14ac:dyDescent="0.25">
      <c r="A541">
        <v>273</v>
      </c>
      <c r="B541" t="s">
        <v>76</v>
      </c>
      <c r="C541" t="s">
        <v>75</v>
      </c>
      <c r="D541" t="s">
        <v>988</v>
      </c>
      <c r="E541" t="s">
        <v>989</v>
      </c>
      <c r="F541" t="s">
        <v>990</v>
      </c>
      <c r="H541" t="str">
        <f t="shared" si="8"/>
        <v>029C181318.01</v>
      </c>
    </row>
    <row r="542" spans="1:8" x14ac:dyDescent="0.25">
      <c r="A542">
        <v>274</v>
      </c>
      <c r="B542" t="s">
        <v>533</v>
      </c>
      <c r="C542" t="s">
        <v>532</v>
      </c>
      <c r="D542" t="s">
        <v>988</v>
      </c>
      <c r="E542" t="s">
        <v>989</v>
      </c>
      <c r="F542" t="s">
        <v>990</v>
      </c>
      <c r="G542" t="s">
        <v>533</v>
      </c>
      <c r="H542" t="str">
        <f t="shared" si="8"/>
        <v>029C281777.00</v>
      </c>
    </row>
    <row r="543" spans="1:8" x14ac:dyDescent="0.25">
      <c r="A543">
        <v>274</v>
      </c>
      <c r="B543" t="s">
        <v>533</v>
      </c>
      <c r="C543" t="s">
        <v>532</v>
      </c>
      <c r="D543" t="s">
        <v>988</v>
      </c>
      <c r="E543" t="s">
        <v>989</v>
      </c>
      <c r="F543" t="s">
        <v>990</v>
      </c>
      <c r="G543" t="s">
        <v>533</v>
      </c>
      <c r="H543" t="str">
        <f t="shared" si="8"/>
        <v>029C281777.01</v>
      </c>
    </row>
    <row r="544" spans="1:8" x14ac:dyDescent="0.25">
      <c r="A544">
        <v>275</v>
      </c>
      <c r="B544" t="s">
        <v>78</v>
      </c>
      <c r="C544" t="s">
        <v>77</v>
      </c>
      <c r="D544" t="s">
        <v>988</v>
      </c>
      <c r="E544" t="s">
        <v>989</v>
      </c>
      <c r="F544" t="s">
        <v>990</v>
      </c>
      <c r="H544" t="str">
        <f t="shared" si="8"/>
        <v>029C186868.00</v>
      </c>
    </row>
    <row r="545" spans="1:8" x14ac:dyDescent="0.25">
      <c r="A545">
        <v>275</v>
      </c>
      <c r="B545" t="s">
        <v>78</v>
      </c>
      <c r="C545" t="s">
        <v>77</v>
      </c>
      <c r="D545" t="s">
        <v>988</v>
      </c>
      <c r="E545" t="s">
        <v>989</v>
      </c>
      <c r="F545" t="s">
        <v>990</v>
      </c>
      <c r="H545" t="str">
        <f t="shared" si="8"/>
        <v>029C186868.01</v>
      </c>
    </row>
    <row r="546" spans="1:8" x14ac:dyDescent="0.25">
      <c r="A546">
        <v>276</v>
      </c>
      <c r="B546" t="s">
        <v>621</v>
      </c>
      <c r="C546" t="s">
        <v>620</v>
      </c>
      <c r="D546" t="s">
        <v>988</v>
      </c>
      <c r="E546" t="s">
        <v>989</v>
      </c>
      <c r="F546" t="s">
        <v>990</v>
      </c>
      <c r="G546" t="s">
        <v>621</v>
      </c>
      <c r="H546" t="str">
        <f t="shared" si="8"/>
        <v>029C001066.00</v>
      </c>
    </row>
    <row r="547" spans="1:8" x14ac:dyDescent="0.25">
      <c r="A547">
        <v>276</v>
      </c>
      <c r="B547" t="s">
        <v>621</v>
      </c>
      <c r="C547" t="s">
        <v>620</v>
      </c>
      <c r="D547" t="s">
        <v>988</v>
      </c>
      <c r="E547" t="s">
        <v>989</v>
      </c>
      <c r="F547" t="s">
        <v>990</v>
      </c>
      <c r="G547" t="s">
        <v>621</v>
      </c>
      <c r="H547" t="str">
        <f t="shared" si="8"/>
        <v>029C001066.01</v>
      </c>
    </row>
    <row r="548" spans="1:8" x14ac:dyDescent="0.25">
      <c r="A548">
        <v>277</v>
      </c>
      <c r="B548" t="s">
        <v>367</v>
      </c>
      <c r="C548" t="s">
        <v>366</v>
      </c>
      <c r="D548" t="s">
        <v>988</v>
      </c>
      <c r="E548" t="s">
        <v>989</v>
      </c>
      <c r="F548" t="s">
        <v>990</v>
      </c>
      <c r="G548" t="s">
        <v>224</v>
      </c>
      <c r="H548" t="str">
        <f t="shared" si="8"/>
        <v>029C186789.00</v>
      </c>
    </row>
    <row r="549" spans="1:8" x14ac:dyDescent="0.25">
      <c r="A549">
        <v>277</v>
      </c>
      <c r="B549" t="s">
        <v>367</v>
      </c>
      <c r="C549" t="s">
        <v>366</v>
      </c>
      <c r="D549" t="s">
        <v>988</v>
      </c>
      <c r="E549" t="s">
        <v>989</v>
      </c>
      <c r="F549" t="s">
        <v>990</v>
      </c>
      <c r="G549" t="s">
        <v>224</v>
      </c>
      <c r="H549" t="str">
        <f t="shared" si="8"/>
        <v>029C186789.01</v>
      </c>
    </row>
    <row r="550" spans="1:8" x14ac:dyDescent="0.25">
      <c r="A550">
        <v>278</v>
      </c>
      <c r="B550" t="s">
        <v>836</v>
      </c>
      <c r="C550" t="s">
        <v>835</v>
      </c>
      <c r="D550" t="s">
        <v>988</v>
      </c>
      <c r="E550" t="s">
        <v>989</v>
      </c>
      <c r="F550" t="s">
        <v>990</v>
      </c>
      <c r="G550" t="s">
        <v>621</v>
      </c>
      <c r="H550" t="str">
        <f t="shared" si="8"/>
        <v>029C110896.00</v>
      </c>
    </row>
    <row r="551" spans="1:8" x14ac:dyDescent="0.25">
      <c r="A551">
        <v>278</v>
      </c>
      <c r="B551" t="s">
        <v>836</v>
      </c>
      <c r="C551" t="s">
        <v>835</v>
      </c>
      <c r="D551" t="s">
        <v>988</v>
      </c>
      <c r="E551" t="s">
        <v>989</v>
      </c>
      <c r="F551" t="s">
        <v>990</v>
      </c>
      <c r="G551" t="s">
        <v>621</v>
      </c>
      <c r="H551" t="str">
        <f t="shared" si="8"/>
        <v>029C110896.01</v>
      </c>
    </row>
    <row r="552" spans="1:8" x14ac:dyDescent="0.25">
      <c r="A552">
        <v>279</v>
      </c>
      <c r="B552" t="s">
        <v>421</v>
      </c>
      <c r="C552" t="s">
        <v>437</v>
      </c>
      <c r="D552" t="s">
        <v>988</v>
      </c>
      <c r="E552" t="s">
        <v>989</v>
      </c>
      <c r="F552" t="s">
        <v>990</v>
      </c>
      <c r="G552" t="s">
        <v>421</v>
      </c>
      <c r="H552" t="str">
        <f t="shared" si="8"/>
        <v>029C001499.00</v>
      </c>
    </row>
    <row r="553" spans="1:8" x14ac:dyDescent="0.25">
      <c r="A553">
        <v>279</v>
      </c>
      <c r="B553" t="s">
        <v>421</v>
      </c>
      <c r="C553" t="s">
        <v>437</v>
      </c>
      <c r="D553" t="s">
        <v>988</v>
      </c>
      <c r="E553" t="s">
        <v>989</v>
      </c>
      <c r="F553" t="s">
        <v>990</v>
      </c>
      <c r="G553" t="s">
        <v>421</v>
      </c>
      <c r="H553" t="str">
        <f t="shared" si="8"/>
        <v>029C001499.01</v>
      </c>
    </row>
    <row r="554" spans="1:8" x14ac:dyDescent="0.25">
      <c r="A554">
        <v>280</v>
      </c>
      <c r="B554" t="s">
        <v>330</v>
      </c>
      <c r="C554" t="s">
        <v>349</v>
      </c>
      <c r="D554" t="s">
        <v>988</v>
      </c>
      <c r="E554" t="s">
        <v>989</v>
      </c>
      <c r="F554" t="s">
        <v>990</v>
      </c>
      <c r="G554" t="s">
        <v>224</v>
      </c>
      <c r="H554" t="str">
        <f t="shared" si="8"/>
        <v>029C002102.00</v>
      </c>
    </row>
    <row r="555" spans="1:8" x14ac:dyDescent="0.25">
      <c r="A555">
        <v>280</v>
      </c>
      <c r="B555" t="s">
        <v>330</v>
      </c>
      <c r="C555" t="s">
        <v>349</v>
      </c>
      <c r="D555" t="s">
        <v>988</v>
      </c>
      <c r="E555" t="s">
        <v>989</v>
      </c>
      <c r="F555" t="s">
        <v>990</v>
      </c>
      <c r="G555" t="s">
        <v>224</v>
      </c>
      <c r="H555" t="str">
        <f t="shared" si="8"/>
        <v>029C002102.01</v>
      </c>
    </row>
    <row r="556" spans="1:8" x14ac:dyDescent="0.25">
      <c r="A556">
        <v>281</v>
      </c>
      <c r="B556" t="s">
        <v>832</v>
      </c>
      <c r="C556" t="s">
        <v>831</v>
      </c>
      <c r="D556" t="s">
        <v>988</v>
      </c>
      <c r="E556" t="s">
        <v>989</v>
      </c>
      <c r="F556" t="s">
        <v>990</v>
      </c>
      <c r="G556" t="s">
        <v>621</v>
      </c>
      <c r="H556" t="str">
        <f t="shared" si="8"/>
        <v>029C100121.00</v>
      </c>
    </row>
    <row r="557" spans="1:8" x14ac:dyDescent="0.25">
      <c r="A557">
        <v>281</v>
      </c>
      <c r="B557" t="s">
        <v>832</v>
      </c>
      <c r="C557" t="s">
        <v>831</v>
      </c>
      <c r="D557" t="s">
        <v>988</v>
      </c>
      <c r="E557" t="s">
        <v>989</v>
      </c>
      <c r="F557" t="s">
        <v>990</v>
      </c>
      <c r="G557" t="s">
        <v>621</v>
      </c>
      <c r="H557" t="str">
        <f t="shared" si="8"/>
        <v>029C100121.01</v>
      </c>
    </row>
    <row r="558" spans="1:8" x14ac:dyDescent="0.25">
      <c r="A558">
        <v>282</v>
      </c>
      <c r="B558" t="s">
        <v>834</v>
      </c>
      <c r="C558" t="s">
        <v>833</v>
      </c>
      <c r="D558" t="s">
        <v>988</v>
      </c>
      <c r="E558" t="s">
        <v>989</v>
      </c>
      <c r="F558" t="s">
        <v>990</v>
      </c>
      <c r="G558" t="s">
        <v>621</v>
      </c>
      <c r="H558" t="str">
        <f t="shared" si="8"/>
        <v>029C100196.00</v>
      </c>
    </row>
    <row r="559" spans="1:8" x14ac:dyDescent="0.25">
      <c r="A559">
        <v>282</v>
      </c>
      <c r="B559" t="s">
        <v>834</v>
      </c>
      <c r="C559" t="s">
        <v>833</v>
      </c>
      <c r="D559" t="s">
        <v>988</v>
      </c>
      <c r="E559" t="s">
        <v>989</v>
      </c>
      <c r="F559" t="s">
        <v>990</v>
      </c>
      <c r="G559" t="s">
        <v>621</v>
      </c>
      <c r="H559" t="str">
        <f t="shared" si="8"/>
        <v>029C100196.01</v>
      </c>
    </row>
    <row r="560" spans="1:8" x14ac:dyDescent="0.25">
      <c r="A560">
        <v>283</v>
      </c>
      <c r="B560" t="s">
        <v>191</v>
      </c>
      <c r="C560" t="s">
        <v>190</v>
      </c>
      <c r="D560" t="s">
        <v>988</v>
      </c>
      <c r="E560" t="s">
        <v>989</v>
      </c>
      <c r="F560" t="s">
        <v>990</v>
      </c>
      <c r="G560" t="s">
        <v>162</v>
      </c>
      <c r="H560" t="str">
        <f t="shared" si="8"/>
        <v>029C001938.00</v>
      </c>
    </row>
    <row r="561" spans="1:8" x14ac:dyDescent="0.25">
      <c r="A561">
        <v>283</v>
      </c>
      <c r="B561" t="s">
        <v>191</v>
      </c>
      <c r="C561" t="s">
        <v>190</v>
      </c>
      <c r="D561" t="s">
        <v>988</v>
      </c>
      <c r="E561" t="s">
        <v>989</v>
      </c>
      <c r="F561" t="s">
        <v>990</v>
      </c>
      <c r="G561" t="s">
        <v>162</v>
      </c>
      <c r="H561" t="str">
        <f t="shared" si="8"/>
        <v>029C001938.01</v>
      </c>
    </row>
    <row r="562" spans="1:8" x14ac:dyDescent="0.25">
      <c r="A562">
        <v>284</v>
      </c>
      <c r="B562" t="s">
        <v>521</v>
      </c>
      <c r="C562" t="s">
        <v>520</v>
      </c>
      <c r="D562" t="s">
        <v>988</v>
      </c>
      <c r="E562" t="s">
        <v>989</v>
      </c>
      <c r="F562" t="s">
        <v>990</v>
      </c>
      <c r="G562" t="s">
        <v>162</v>
      </c>
      <c r="H562" t="str">
        <f t="shared" si="8"/>
        <v>029C001059.00</v>
      </c>
    </row>
    <row r="563" spans="1:8" x14ac:dyDescent="0.25">
      <c r="A563">
        <v>284</v>
      </c>
      <c r="B563" t="s">
        <v>521</v>
      </c>
      <c r="C563" t="s">
        <v>520</v>
      </c>
      <c r="D563" t="s">
        <v>988</v>
      </c>
      <c r="E563" t="s">
        <v>989</v>
      </c>
      <c r="F563" t="s">
        <v>990</v>
      </c>
      <c r="G563" t="s">
        <v>162</v>
      </c>
      <c r="H563" t="str">
        <f t="shared" si="8"/>
        <v>029C001059.01</v>
      </c>
    </row>
    <row r="564" spans="1:8" x14ac:dyDescent="0.25">
      <c r="A564">
        <v>285</v>
      </c>
      <c r="B564" t="s">
        <v>66</v>
      </c>
      <c r="C564" t="s">
        <v>65</v>
      </c>
      <c r="D564" t="s">
        <v>988</v>
      </c>
      <c r="E564" t="s">
        <v>989</v>
      </c>
      <c r="F564" t="s">
        <v>990</v>
      </c>
      <c r="H564" t="str">
        <f t="shared" si="8"/>
        <v>029C300959.00</v>
      </c>
    </row>
    <row r="565" spans="1:8" x14ac:dyDescent="0.25">
      <c r="A565">
        <v>285</v>
      </c>
      <c r="B565" t="s">
        <v>66</v>
      </c>
      <c r="C565" t="s">
        <v>65</v>
      </c>
      <c r="D565" t="s">
        <v>988</v>
      </c>
      <c r="E565" t="s">
        <v>989</v>
      </c>
      <c r="F565" t="s">
        <v>990</v>
      </c>
      <c r="H565" t="str">
        <f t="shared" si="8"/>
        <v>029C300959.01</v>
      </c>
    </row>
    <row r="566" spans="1:8" x14ac:dyDescent="0.25">
      <c r="A566">
        <v>286</v>
      </c>
      <c r="B566" t="s">
        <v>454</v>
      </c>
      <c r="C566" t="s">
        <v>453</v>
      </c>
      <c r="D566" t="s">
        <v>988</v>
      </c>
      <c r="E566" t="s">
        <v>991</v>
      </c>
      <c r="F566" t="s">
        <v>992</v>
      </c>
      <c r="G566" t="s">
        <v>452</v>
      </c>
      <c r="H566" t="str">
        <f t="shared" si="8"/>
        <v>029C003630.00</v>
      </c>
    </row>
    <row r="567" spans="1:8" x14ac:dyDescent="0.25">
      <c r="A567">
        <v>286</v>
      </c>
      <c r="B567" t="s">
        <v>454</v>
      </c>
      <c r="C567" t="s">
        <v>453</v>
      </c>
      <c r="D567" t="s">
        <v>988</v>
      </c>
      <c r="E567" t="s">
        <v>991</v>
      </c>
      <c r="F567" t="s">
        <v>992</v>
      </c>
      <c r="G567" t="s">
        <v>452</v>
      </c>
      <c r="H567" t="str">
        <f t="shared" si="8"/>
        <v>029C003630.01</v>
      </c>
    </row>
    <row r="568" spans="1:8" x14ac:dyDescent="0.25">
      <c r="A568">
        <v>287</v>
      </c>
      <c r="B568" t="s">
        <v>96</v>
      </c>
      <c r="C568" t="s">
        <v>95</v>
      </c>
      <c r="D568" t="s">
        <v>988</v>
      </c>
      <c r="E568" t="s">
        <v>989</v>
      </c>
      <c r="F568" t="s">
        <v>990</v>
      </c>
      <c r="G568" t="s">
        <v>83</v>
      </c>
      <c r="H568" t="str">
        <f t="shared" si="8"/>
        <v>029C201089.00</v>
      </c>
    </row>
    <row r="569" spans="1:8" x14ac:dyDescent="0.25">
      <c r="A569">
        <v>287</v>
      </c>
      <c r="B569" t="s">
        <v>96</v>
      </c>
      <c r="C569" t="s">
        <v>95</v>
      </c>
      <c r="D569" t="s">
        <v>988</v>
      </c>
      <c r="E569" t="s">
        <v>989</v>
      </c>
      <c r="F569" t="s">
        <v>990</v>
      </c>
      <c r="G569" t="s">
        <v>83</v>
      </c>
      <c r="H569" t="str">
        <f t="shared" si="8"/>
        <v>029C201089.01</v>
      </c>
    </row>
    <row r="570" spans="1:8" x14ac:dyDescent="0.25">
      <c r="A570">
        <v>288</v>
      </c>
      <c r="B570" t="s">
        <v>449</v>
      </c>
      <c r="C570" t="s">
        <v>448</v>
      </c>
      <c r="D570" t="s">
        <v>988</v>
      </c>
      <c r="E570" t="s">
        <v>989</v>
      </c>
      <c r="F570" t="s">
        <v>990</v>
      </c>
      <c r="G570" t="s">
        <v>421</v>
      </c>
      <c r="H570" t="str">
        <f t="shared" si="8"/>
        <v>029C662866.00</v>
      </c>
    </row>
    <row r="571" spans="1:8" x14ac:dyDescent="0.25">
      <c r="A571">
        <v>288</v>
      </c>
      <c r="B571" t="s">
        <v>449</v>
      </c>
      <c r="C571" t="s">
        <v>448</v>
      </c>
      <c r="D571" t="s">
        <v>988</v>
      </c>
      <c r="E571" t="s">
        <v>989</v>
      </c>
      <c r="F571" t="s">
        <v>990</v>
      </c>
      <c r="G571" t="s">
        <v>421</v>
      </c>
      <c r="H571" t="str">
        <f t="shared" si="8"/>
        <v>029C662866.01</v>
      </c>
    </row>
    <row r="572" spans="1:8" x14ac:dyDescent="0.25">
      <c r="A572">
        <v>289</v>
      </c>
      <c r="B572" t="s">
        <v>398</v>
      </c>
      <c r="C572" t="s">
        <v>397</v>
      </c>
      <c r="D572" t="s">
        <v>988</v>
      </c>
      <c r="E572" t="s">
        <v>989</v>
      </c>
      <c r="F572" t="s">
        <v>990</v>
      </c>
      <c r="G572" t="s">
        <v>384</v>
      </c>
      <c r="H572" t="str">
        <f t="shared" si="8"/>
        <v>029C001621.00</v>
      </c>
    </row>
    <row r="573" spans="1:8" x14ac:dyDescent="0.25">
      <c r="A573">
        <v>289</v>
      </c>
      <c r="B573" t="s">
        <v>398</v>
      </c>
      <c r="C573" t="s">
        <v>397</v>
      </c>
      <c r="D573" t="s">
        <v>988</v>
      </c>
      <c r="E573" t="s">
        <v>989</v>
      </c>
      <c r="F573" t="s">
        <v>990</v>
      </c>
      <c r="G573" t="s">
        <v>384</v>
      </c>
      <c r="H573" t="str">
        <f t="shared" si="8"/>
        <v>029C001621.01</v>
      </c>
    </row>
    <row r="574" spans="1:8" x14ac:dyDescent="0.25">
      <c r="A574">
        <v>290</v>
      </c>
      <c r="B574" t="s">
        <v>891</v>
      </c>
      <c r="C574" t="s">
        <v>890</v>
      </c>
      <c r="D574" t="s">
        <v>988</v>
      </c>
      <c r="E574" t="s">
        <v>989</v>
      </c>
      <c r="F574" t="s">
        <v>990</v>
      </c>
      <c r="G574" t="s">
        <v>621</v>
      </c>
      <c r="H574" t="str">
        <f t="shared" si="8"/>
        <v>029C270423.00</v>
      </c>
    </row>
    <row r="575" spans="1:8" x14ac:dyDescent="0.25">
      <c r="A575">
        <v>290</v>
      </c>
      <c r="B575" t="s">
        <v>891</v>
      </c>
      <c r="C575" t="s">
        <v>890</v>
      </c>
      <c r="D575" t="s">
        <v>988</v>
      </c>
      <c r="E575" t="s">
        <v>989</v>
      </c>
      <c r="F575" t="s">
        <v>990</v>
      </c>
      <c r="G575" t="s">
        <v>621</v>
      </c>
      <c r="H575" t="str">
        <f t="shared" si="8"/>
        <v>029C270423.01</v>
      </c>
    </row>
    <row r="576" spans="1:8" x14ac:dyDescent="0.25">
      <c r="A576">
        <v>291</v>
      </c>
      <c r="B576" t="s">
        <v>114</v>
      </c>
      <c r="C576" t="s">
        <v>113</v>
      </c>
      <c r="D576" t="s">
        <v>988</v>
      </c>
      <c r="E576" t="s">
        <v>989</v>
      </c>
      <c r="F576" t="s">
        <v>990</v>
      </c>
      <c r="G576" t="s">
        <v>83</v>
      </c>
      <c r="H576" t="str">
        <f t="shared" si="8"/>
        <v>029C004525.00</v>
      </c>
    </row>
    <row r="577" spans="1:8" x14ac:dyDescent="0.25">
      <c r="A577">
        <v>291</v>
      </c>
      <c r="B577" t="s">
        <v>114</v>
      </c>
      <c r="C577" t="s">
        <v>113</v>
      </c>
      <c r="D577" t="s">
        <v>988</v>
      </c>
      <c r="E577" t="s">
        <v>989</v>
      </c>
      <c r="F577" t="s">
        <v>990</v>
      </c>
      <c r="G577" t="s">
        <v>83</v>
      </c>
      <c r="H577" t="str">
        <f t="shared" si="8"/>
        <v>029C004525.01</v>
      </c>
    </row>
    <row r="578" spans="1:8" x14ac:dyDescent="0.25">
      <c r="A578">
        <v>292</v>
      </c>
      <c r="B578" t="s">
        <v>74</v>
      </c>
      <c r="C578" t="s">
        <v>73</v>
      </c>
      <c r="D578" t="s">
        <v>988</v>
      </c>
      <c r="E578" t="s">
        <v>989</v>
      </c>
      <c r="F578" t="s">
        <v>990</v>
      </c>
      <c r="H578" t="str">
        <f t="shared" ref="H578:H641" si="9">C578&amp;IF(MOD(ROW(),2)=0,".00",".01")</f>
        <v>029C258668.00</v>
      </c>
    </row>
    <row r="579" spans="1:8" x14ac:dyDescent="0.25">
      <c r="A579">
        <v>292</v>
      </c>
      <c r="B579" t="s">
        <v>74</v>
      </c>
      <c r="C579" t="s">
        <v>73</v>
      </c>
      <c r="D579" t="s">
        <v>988</v>
      </c>
      <c r="E579" t="s">
        <v>989</v>
      </c>
      <c r="F579" t="s">
        <v>990</v>
      </c>
      <c r="H579" t="str">
        <f t="shared" si="9"/>
        <v>029C258668.01</v>
      </c>
    </row>
    <row r="580" spans="1:8" x14ac:dyDescent="0.25">
      <c r="A580">
        <v>293</v>
      </c>
      <c r="B580" t="s">
        <v>855</v>
      </c>
      <c r="C580" t="s">
        <v>854</v>
      </c>
      <c r="D580" t="s">
        <v>988</v>
      </c>
      <c r="E580" t="s">
        <v>989</v>
      </c>
      <c r="F580" t="s">
        <v>990</v>
      </c>
      <c r="G580" t="s">
        <v>621</v>
      </c>
      <c r="H580" t="str">
        <f t="shared" si="9"/>
        <v>029C181995.00</v>
      </c>
    </row>
    <row r="581" spans="1:8" x14ac:dyDescent="0.25">
      <c r="A581">
        <v>293</v>
      </c>
      <c r="B581" t="s">
        <v>855</v>
      </c>
      <c r="C581" t="s">
        <v>854</v>
      </c>
      <c r="D581" t="s">
        <v>988</v>
      </c>
      <c r="E581" t="s">
        <v>989</v>
      </c>
      <c r="F581" t="s">
        <v>990</v>
      </c>
      <c r="G581" t="s">
        <v>621</v>
      </c>
      <c r="H581" t="str">
        <f t="shared" si="9"/>
        <v>029C181995.01</v>
      </c>
    </row>
    <row r="582" spans="1:8" x14ac:dyDescent="0.25">
      <c r="A582">
        <v>294</v>
      </c>
      <c r="B582" t="s">
        <v>828</v>
      </c>
      <c r="C582" t="s">
        <v>827</v>
      </c>
      <c r="D582" t="s">
        <v>988</v>
      </c>
      <c r="E582" t="s">
        <v>989</v>
      </c>
      <c r="F582" t="s">
        <v>990</v>
      </c>
      <c r="G582" t="s">
        <v>621</v>
      </c>
      <c r="H582" t="str">
        <f t="shared" si="9"/>
        <v>029C070585.00</v>
      </c>
    </row>
    <row r="583" spans="1:8" x14ac:dyDescent="0.25">
      <c r="A583">
        <v>294</v>
      </c>
      <c r="B583" t="s">
        <v>828</v>
      </c>
      <c r="C583" t="s">
        <v>827</v>
      </c>
      <c r="D583" t="s">
        <v>988</v>
      </c>
      <c r="E583" t="s">
        <v>989</v>
      </c>
      <c r="F583" t="s">
        <v>990</v>
      </c>
      <c r="G583" t="s">
        <v>621</v>
      </c>
      <c r="H583" t="str">
        <f t="shared" si="9"/>
        <v>029C070585.01</v>
      </c>
    </row>
    <row r="584" spans="1:8" x14ac:dyDescent="0.25">
      <c r="A584">
        <v>295</v>
      </c>
      <c r="B584" t="s">
        <v>429</v>
      </c>
      <c r="C584" t="s">
        <v>428</v>
      </c>
      <c r="D584" t="s">
        <v>988</v>
      </c>
      <c r="E584" t="s">
        <v>989</v>
      </c>
      <c r="F584" t="s">
        <v>990</v>
      </c>
      <c r="G584" t="s">
        <v>421</v>
      </c>
      <c r="H584" t="str">
        <f t="shared" si="9"/>
        <v>029C001320.00</v>
      </c>
    </row>
    <row r="585" spans="1:8" x14ac:dyDescent="0.25">
      <c r="A585">
        <v>295</v>
      </c>
      <c r="B585" t="s">
        <v>429</v>
      </c>
      <c r="C585" t="s">
        <v>428</v>
      </c>
      <c r="D585" t="s">
        <v>988</v>
      </c>
      <c r="E585" t="s">
        <v>989</v>
      </c>
      <c r="F585" t="s">
        <v>990</v>
      </c>
      <c r="G585" t="s">
        <v>421</v>
      </c>
      <c r="H585" t="str">
        <f t="shared" si="9"/>
        <v>029C001320.01</v>
      </c>
    </row>
    <row r="586" spans="1:8" x14ac:dyDescent="0.25">
      <c r="A586">
        <v>296</v>
      </c>
      <c r="B586" t="s">
        <v>328</v>
      </c>
      <c r="C586" t="s">
        <v>327</v>
      </c>
      <c r="D586" t="s">
        <v>988</v>
      </c>
      <c r="E586" t="s">
        <v>989</v>
      </c>
      <c r="F586" t="s">
        <v>990</v>
      </c>
      <c r="G586" t="s">
        <v>224</v>
      </c>
      <c r="H586" t="str">
        <f t="shared" si="9"/>
        <v>029C751733.00</v>
      </c>
    </row>
    <row r="587" spans="1:8" x14ac:dyDescent="0.25">
      <c r="A587">
        <v>296</v>
      </c>
      <c r="B587" t="s">
        <v>328</v>
      </c>
      <c r="C587" t="s">
        <v>327</v>
      </c>
      <c r="D587" t="s">
        <v>988</v>
      </c>
      <c r="E587" t="s">
        <v>989</v>
      </c>
      <c r="F587" t="s">
        <v>990</v>
      </c>
      <c r="G587" t="s">
        <v>224</v>
      </c>
      <c r="H587" t="str">
        <f t="shared" si="9"/>
        <v>029C751733.01</v>
      </c>
    </row>
    <row r="588" spans="1:8" x14ac:dyDescent="0.25">
      <c r="A588">
        <v>297</v>
      </c>
      <c r="B588" t="s">
        <v>236</v>
      </c>
      <c r="C588" t="s">
        <v>235</v>
      </c>
      <c r="D588" t="s">
        <v>988</v>
      </c>
      <c r="E588" t="s">
        <v>989</v>
      </c>
      <c r="F588" t="s">
        <v>990</v>
      </c>
      <c r="G588" t="s">
        <v>224</v>
      </c>
      <c r="H588" t="str">
        <f t="shared" si="9"/>
        <v>029C770144.00</v>
      </c>
    </row>
    <row r="589" spans="1:8" x14ac:dyDescent="0.25">
      <c r="A589">
        <v>297</v>
      </c>
      <c r="B589" t="s">
        <v>236</v>
      </c>
      <c r="C589" t="s">
        <v>235</v>
      </c>
      <c r="D589" t="s">
        <v>988</v>
      </c>
      <c r="E589" t="s">
        <v>989</v>
      </c>
      <c r="F589" t="s">
        <v>990</v>
      </c>
      <c r="G589" t="s">
        <v>224</v>
      </c>
      <c r="H589" t="str">
        <f t="shared" si="9"/>
        <v>029C770144.01</v>
      </c>
    </row>
    <row r="590" spans="1:8" x14ac:dyDescent="0.25">
      <c r="A590">
        <v>298</v>
      </c>
      <c r="B590" t="s">
        <v>40</v>
      </c>
      <c r="C590" t="s">
        <v>39</v>
      </c>
      <c r="D590" t="s">
        <v>988</v>
      </c>
      <c r="E590" t="s">
        <v>989</v>
      </c>
      <c r="F590" t="s">
        <v>990</v>
      </c>
      <c r="H590" t="str">
        <f t="shared" si="9"/>
        <v>029C779668.00</v>
      </c>
    </row>
    <row r="591" spans="1:8" x14ac:dyDescent="0.25">
      <c r="A591">
        <v>298</v>
      </c>
      <c r="B591" t="s">
        <v>40</v>
      </c>
      <c r="C591" t="s">
        <v>39</v>
      </c>
      <c r="D591" t="s">
        <v>988</v>
      </c>
      <c r="E591" t="s">
        <v>989</v>
      </c>
      <c r="F591" t="s">
        <v>990</v>
      </c>
      <c r="H591" t="str">
        <f t="shared" si="9"/>
        <v>029C779668.01</v>
      </c>
    </row>
    <row r="592" spans="1:8" x14ac:dyDescent="0.25">
      <c r="A592">
        <v>299</v>
      </c>
      <c r="B592" t="s">
        <v>217</v>
      </c>
      <c r="C592" t="s">
        <v>216</v>
      </c>
      <c r="D592" t="s">
        <v>988</v>
      </c>
      <c r="E592" t="s">
        <v>989</v>
      </c>
      <c r="F592" t="s">
        <v>990</v>
      </c>
      <c r="G592" t="s">
        <v>162</v>
      </c>
      <c r="H592" t="str">
        <f t="shared" si="9"/>
        <v>029C782002.00</v>
      </c>
    </row>
    <row r="593" spans="1:8" x14ac:dyDescent="0.25">
      <c r="A593">
        <v>299</v>
      </c>
      <c r="B593" t="s">
        <v>217</v>
      </c>
      <c r="C593" t="s">
        <v>216</v>
      </c>
      <c r="D593" t="s">
        <v>988</v>
      </c>
      <c r="E593" t="s">
        <v>989</v>
      </c>
      <c r="F593" t="s">
        <v>990</v>
      </c>
      <c r="G593" t="s">
        <v>162</v>
      </c>
      <c r="H593" t="str">
        <f t="shared" si="9"/>
        <v>029C782002.01</v>
      </c>
    </row>
    <row r="594" spans="1:8" x14ac:dyDescent="0.25">
      <c r="A594">
        <v>300</v>
      </c>
      <c r="B594" t="s">
        <v>58</v>
      </c>
      <c r="C594" t="s">
        <v>57</v>
      </c>
      <c r="D594" t="s">
        <v>988</v>
      </c>
      <c r="E594" t="s">
        <v>989</v>
      </c>
      <c r="F594" t="s">
        <v>990</v>
      </c>
      <c r="H594" t="str">
        <f t="shared" si="9"/>
        <v>029C866600.00</v>
      </c>
    </row>
    <row r="595" spans="1:8" x14ac:dyDescent="0.25">
      <c r="A595">
        <v>300</v>
      </c>
      <c r="B595" t="s">
        <v>58</v>
      </c>
      <c r="C595" t="s">
        <v>57</v>
      </c>
      <c r="D595" t="s">
        <v>988</v>
      </c>
      <c r="E595" t="s">
        <v>989</v>
      </c>
      <c r="F595" t="s">
        <v>990</v>
      </c>
      <c r="H595" t="str">
        <f t="shared" si="9"/>
        <v>029C866600.01</v>
      </c>
    </row>
    <row r="596" spans="1:8" x14ac:dyDescent="0.25">
      <c r="A596">
        <v>301</v>
      </c>
      <c r="B596" t="s">
        <v>484</v>
      </c>
      <c r="C596" t="s">
        <v>483</v>
      </c>
      <c r="D596" t="s">
        <v>988</v>
      </c>
      <c r="E596" t="s">
        <v>989</v>
      </c>
      <c r="F596" t="s">
        <v>990</v>
      </c>
      <c r="G596" t="s">
        <v>474</v>
      </c>
      <c r="H596" t="str">
        <f t="shared" si="9"/>
        <v>029C874664.00</v>
      </c>
    </row>
    <row r="597" spans="1:8" x14ac:dyDescent="0.25">
      <c r="A597">
        <v>301</v>
      </c>
      <c r="B597" t="s">
        <v>484</v>
      </c>
      <c r="C597" t="s">
        <v>483</v>
      </c>
      <c r="D597" t="s">
        <v>988</v>
      </c>
      <c r="E597" t="s">
        <v>989</v>
      </c>
      <c r="F597" t="s">
        <v>990</v>
      </c>
      <c r="G597" t="s">
        <v>474</v>
      </c>
      <c r="H597" t="str">
        <f t="shared" si="9"/>
        <v>029C874664.01</v>
      </c>
    </row>
    <row r="598" spans="1:8" x14ac:dyDescent="0.25">
      <c r="A598">
        <v>302</v>
      </c>
      <c r="B598" t="s">
        <v>911</v>
      </c>
      <c r="C598" t="s">
        <v>910</v>
      </c>
      <c r="D598" t="s">
        <v>988</v>
      </c>
      <c r="E598" t="s">
        <v>989</v>
      </c>
      <c r="F598" t="s">
        <v>990</v>
      </c>
      <c r="G598" t="s">
        <v>621</v>
      </c>
      <c r="H598" t="str">
        <f t="shared" si="9"/>
        <v>029C882006.00</v>
      </c>
    </row>
    <row r="599" spans="1:8" x14ac:dyDescent="0.25">
      <c r="A599">
        <v>302</v>
      </c>
      <c r="B599" t="s">
        <v>911</v>
      </c>
      <c r="C599" t="s">
        <v>910</v>
      </c>
      <c r="D599" t="s">
        <v>988</v>
      </c>
      <c r="E599" t="s">
        <v>989</v>
      </c>
      <c r="F599" t="s">
        <v>990</v>
      </c>
      <c r="G599" t="s">
        <v>621</v>
      </c>
      <c r="H599" t="str">
        <f t="shared" si="9"/>
        <v>029C882006.01</v>
      </c>
    </row>
    <row r="600" spans="1:8" x14ac:dyDescent="0.25">
      <c r="A600">
        <v>303</v>
      </c>
      <c r="B600" t="s">
        <v>913</v>
      </c>
      <c r="C600" t="s">
        <v>912</v>
      </c>
      <c r="D600" t="s">
        <v>988</v>
      </c>
      <c r="E600" t="s">
        <v>989</v>
      </c>
      <c r="F600" t="s">
        <v>990</v>
      </c>
      <c r="G600" t="s">
        <v>621</v>
      </c>
      <c r="H600" t="str">
        <f t="shared" si="9"/>
        <v>029C888832.00</v>
      </c>
    </row>
    <row r="601" spans="1:8" x14ac:dyDescent="0.25">
      <c r="A601">
        <v>303</v>
      </c>
      <c r="B601" t="s">
        <v>913</v>
      </c>
      <c r="C601" t="s">
        <v>912</v>
      </c>
      <c r="D601" t="s">
        <v>988</v>
      </c>
      <c r="E601" t="s">
        <v>989</v>
      </c>
      <c r="F601" t="s">
        <v>990</v>
      </c>
      <c r="G601" t="s">
        <v>621</v>
      </c>
      <c r="H601" t="str">
        <f t="shared" si="9"/>
        <v>029C888832.01</v>
      </c>
    </row>
    <row r="602" spans="1:8" x14ac:dyDescent="0.25">
      <c r="A602">
        <v>304</v>
      </c>
      <c r="B602" t="s">
        <v>219</v>
      </c>
      <c r="C602" t="s">
        <v>218</v>
      </c>
      <c r="D602" t="s">
        <v>988</v>
      </c>
      <c r="E602" t="s">
        <v>989</v>
      </c>
      <c r="F602" t="s">
        <v>990</v>
      </c>
      <c r="G602" t="s">
        <v>162</v>
      </c>
      <c r="H602" t="str">
        <f t="shared" si="9"/>
        <v>029C889909.00</v>
      </c>
    </row>
    <row r="603" spans="1:8" x14ac:dyDescent="0.25">
      <c r="A603">
        <v>304</v>
      </c>
      <c r="B603" t="s">
        <v>219</v>
      </c>
      <c r="C603" t="s">
        <v>218</v>
      </c>
      <c r="D603" t="s">
        <v>988</v>
      </c>
      <c r="E603" t="s">
        <v>989</v>
      </c>
      <c r="F603" t="s">
        <v>990</v>
      </c>
      <c r="G603" t="s">
        <v>162</v>
      </c>
      <c r="H603" t="str">
        <f t="shared" si="9"/>
        <v>029C889909.01</v>
      </c>
    </row>
    <row r="604" spans="1:8" x14ac:dyDescent="0.25">
      <c r="A604">
        <v>305</v>
      </c>
      <c r="B604" t="s">
        <v>273</v>
      </c>
      <c r="C604" t="s">
        <v>272</v>
      </c>
      <c r="D604" t="s">
        <v>988</v>
      </c>
      <c r="E604" t="s">
        <v>989</v>
      </c>
      <c r="F604" t="s">
        <v>990</v>
      </c>
      <c r="G604" t="s">
        <v>224</v>
      </c>
      <c r="H604" t="str">
        <f t="shared" si="9"/>
        <v>029C907005.00</v>
      </c>
    </row>
    <row r="605" spans="1:8" x14ac:dyDescent="0.25">
      <c r="A605">
        <v>305</v>
      </c>
      <c r="B605" t="s">
        <v>273</v>
      </c>
      <c r="C605" t="s">
        <v>272</v>
      </c>
      <c r="D605" t="s">
        <v>988</v>
      </c>
      <c r="E605" t="s">
        <v>989</v>
      </c>
      <c r="F605" t="s">
        <v>990</v>
      </c>
      <c r="G605" t="s">
        <v>224</v>
      </c>
      <c r="H605" t="str">
        <f t="shared" si="9"/>
        <v>029C907005.01</v>
      </c>
    </row>
    <row r="606" spans="1:8" x14ac:dyDescent="0.25">
      <c r="A606">
        <v>306</v>
      </c>
      <c r="B606" t="s">
        <v>915</v>
      </c>
      <c r="C606" t="s">
        <v>914</v>
      </c>
      <c r="D606" t="s">
        <v>988</v>
      </c>
      <c r="E606" t="s">
        <v>989</v>
      </c>
      <c r="F606" t="s">
        <v>990</v>
      </c>
      <c r="G606" t="s">
        <v>621</v>
      </c>
      <c r="H606" t="str">
        <f t="shared" si="9"/>
        <v>029C913333.00</v>
      </c>
    </row>
    <row r="607" spans="1:8" x14ac:dyDescent="0.25">
      <c r="A607">
        <v>306</v>
      </c>
      <c r="B607" t="s">
        <v>915</v>
      </c>
      <c r="C607" t="s">
        <v>914</v>
      </c>
      <c r="D607" t="s">
        <v>988</v>
      </c>
      <c r="E607" t="s">
        <v>989</v>
      </c>
      <c r="F607" t="s">
        <v>990</v>
      </c>
      <c r="G607" t="s">
        <v>621</v>
      </c>
      <c r="H607" t="str">
        <f t="shared" si="9"/>
        <v>029C913333.01</v>
      </c>
    </row>
    <row r="608" spans="1:8" x14ac:dyDescent="0.25">
      <c r="A608">
        <v>307</v>
      </c>
      <c r="B608" t="s">
        <v>332</v>
      </c>
      <c r="C608" t="s">
        <v>331</v>
      </c>
      <c r="D608" t="s">
        <v>988</v>
      </c>
      <c r="E608" t="s">
        <v>989</v>
      </c>
      <c r="F608" t="s">
        <v>990</v>
      </c>
      <c r="G608" t="s">
        <v>224</v>
      </c>
      <c r="H608" t="str">
        <f t="shared" si="9"/>
        <v>029C939393.00</v>
      </c>
    </row>
    <row r="609" spans="1:8" x14ac:dyDescent="0.25">
      <c r="A609">
        <v>307</v>
      </c>
      <c r="B609" t="s">
        <v>332</v>
      </c>
      <c r="C609" t="s">
        <v>331</v>
      </c>
      <c r="D609" t="s">
        <v>988</v>
      </c>
      <c r="E609" t="s">
        <v>989</v>
      </c>
      <c r="F609" t="s">
        <v>990</v>
      </c>
      <c r="G609" t="s">
        <v>224</v>
      </c>
      <c r="H609" t="str">
        <f t="shared" si="9"/>
        <v>029C939393.01</v>
      </c>
    </row>
    <row r="610" spans="1:8" x14ac:dyDescent="0.25">
      <c r="A610">
        <v>308</v>
      </c>
      <c r="B610" t="s">
        <v>451</v>
      </c>
      <c r="C610" t="s">
        <v>450</v>
      </c>
      <c r="D610" t="s">
        <v>988</v>
      </c>
      <c r="E610" t="s">
        <v>989</v>
      </c>
      <c r="F610" t="s">
        <v>990</v>
      </c>
      <c r="G610" t="s">
        <v>421</v>
      </c>
      <c r="H610" t="str">
        <f t="shared" si="9"/>
        <v>029C950818.00</v>
      </c>
    </row>
    <row r="611" spans="1:8" x14ac:dyDescent="0.25">
      <c r="A611">
        <v>308</v>
      </c>
      <c r="B611" t="s">
        <v>451</v>
      </c>
      <c r="C611" t="s">
        <v>450</v>
      </c>
      <c r="D611" t="s">
        <v>988</v>
      </c>
      <c r="E611" t="s">
        <v>989</v>
      </c>
      <c r="F611" t="s">
        <v>990</v>
      </c>
      <c r="G611" t="s">
        <v>421</v>
      </c>
      <c r="H611" t="str">
        <f t="shared" si="9"/>
        <v>029C950818.01</v>
      </c>
    </row>
    <row r="612" spans="1:8" x14ac:dyDescent="0.25">
      <c r="A612">
        <v>309</v>
      </c>
      <c r="B612" t="s">
        <v>917</v>
      </c>
      <c r="C612" t="s">
        <v>916</v>
      </c>
      <c r="D612" t="s">
        <v>988</v>
      </c>
      <c r="E612" t="s">
        <v>989</v>
      </c>
      <c r="F612" t="s">
        <v>990</v>
      </c>
      <c r="G612" t="s">
        <v>621</v>
      </c>
      <c r="H612" t="str">
        <f t="shared" si="9"/>
        <v>029C967687.00</v>
      </c>
    </row>
    <row r="613" spans="1:8" x14ac:dyDescent="0.25">
      <c r="A613">
        <v>309</v>
      </c>
      <c r="B613" t="s">
        <v>917</v>
      </c>
      <c r="C613" t="s">
        <v>916</v>
      </c>
      <c r="D613" t="s">
        <v>988</v>
      </c>
      <c r="E613" t="s">
        <v>989</v>
      </c>
      <c r="F613" t="s">
        <v>990</v>
      </c>
      <c r="G613" t="s">
        <v>621</v>
      </c>
      <c r="H613" t="str">
        <f t="shared" si="9"/>
        <v>029C967687.01</v>
      </c>
    </row>
    <row r="614" spans="1:8" x14ac:dyDescent="0.25">
      <c r="A614">
        <v>310</v>
      </c>
      <c r="B614" t="s">
        <v>874</v>
      </c>
      <c r="C614" t="s">
        <v>873</v>
      </c>
      <c r="D614" t="s">
        <v>988</v>
      </c>
      <c r="E614" t="s">
        <v>989</v>
      </c>
      <c r="F614" t="s">
        <v>990</v>
      </c>
      <c r="G614" t="s">
        <v>694</v>
      </c>
      <c r="H614" t="str">
        <f t="shared" si="9"/>
        <v>029C220910.00</v>
      </c>
    </row>
    <row r="615" spans="1:8" x14ac:dyDescent="0.25">
      <c r="A615">
        <v>310</v>
      </c>
      <c r="B615" t="s">
        <v>874</v>
      </c>
      <c r="C615" t="s">
        <v>873</v>
      </c>
      <c r="D615" t="s">
        <v>988</v>
      </c>
      <c r="E615" t="s">
        <v>989</v>
      </c>
      <c r="F615" t="s">
        <v>990</v>
      </c>
      <c r="G615" t="s">
        <v>694</v>
      </c>
      <c r="H615" t="str">
        <f t="shared" si="9"/>
        <v>029C220910.01</v>
      </c>
    </row>
    <row r="616" spans="1:8" x14ac:dyDescent="0.25">
      <c r="A616">
        <v>311</v>
      </c>
      <c r="B616" t="s">
        <v>840</v>
      </c>
      <c r="C616" t="s">
        <v>839</v>
      </c>
      <c r="D616" t="s">
        <v>988</v>
      </c>
      <c r="E616" t="s">
        <v>991</v>
      </c>
      <c r="F616" t="s">
        <v>992</v>
      </c>
      <c r="G616" t="s">
        <v>694</v>
      </c>
      <c r="H616" t="str">
        <f t="shared" si="9"/>
        <v>029C123589.00</v>
      </c>
    </row>
    <row r="617" spans="1:8" x14ac:dyDescent="0.25">
      <c r="A617">
        <v>311</v>
      </c>
      <c r="B617" t="s">
        <v>840</v>
      </c>
      <c r="C617" t="s">
        <v>839</v>
      </c>
      <c r="D617" t="s">
        <v>988</v>
      </c>
      <c r="E617" t="s">
        <v>991</v>
      </c>
      <c r="F617" t="s">
        <v>992</v>
      </c>
      <c r="G617" t="s">
        <v>694</v>
      </c>
      <c r="H617" t="str">
        <f t="shared" si="9"/>
        <v>029C123589.01</v>
      </c>
    </row>
    <row r="618" spans="1:8" x14ac:dyDescent="0.25">
      <c r="A618">
        <v>312</v>
      </c>
      <c r="B618" t="s">
        <v>693</v>
      </c>
      <c r="C618" t="s">
        <v>692</v>
      </c>
      <c r="D618" t="s">
        <v>988</v>
      </c>
      <c r="E618" t="s">
        <v>991</v>
      </c>
      <c r="F618" t="s">
        <v>992</v>
      </c>
      <c r="G618" t="s">
        <v>694</v>
      </c>
      <c r="H618" t="str">
        <f t="shared" si="9"/>
        <v>029C002037.00</v>
      </c>
    </row>
    <row r="619" spans="1:8" x14ac:dyDescent="0.25">
      <c r="A619">
        <v>312</v>
      </c>
      <c r="B619" t="s">
        <v>693</v>
      </c>
      <c r="C619" t="s">
        <v>692</v>
      </c>
      <c r="D619" t="s">
        <v>988</v>
      </c>
      <c r="E619" t="s">
        <v>991</v>
      </c>
      <c r="F619" t="s">
        <v>992</v>
      </c>
      <c r="G619" t="s">
        <v>694</v>
      </c>
      <c r="H619" t="str">
        <f t="shared" si="9"/>
        <v>029C002037.01</v>
      </c>
    </row>
    <row r="620" spans="1:8" x14ac:dyDescent="0.25">
      <c r="A620">
        <v>313</v>
      </c>
      <c r="B620" t="s">
        <v>820</v>
      </c>
      <c r="C620" t="s">
        <v>819</v>
      </c>
      <c r="D620" t="s">
        <v>988</v>
      </c>
      <c r="E620" t="s">
        <v>991</v>
      </c>
      <c r="F620" t="s">
        <v>992</v>
      </c>
      <c r="G620" t="s">
        <v>651</v>
      </c>
      <c r="H620" t="str">
        <f t="shared" si="9"/>
        <v>029C015904.00</v>
      </c>
    </row>
    <row r="621" spans="1:8" x14ac:dyDescent="0.25">
      <c r="A621">
        <v>313</v>
      </c>
      <c r="B621" t="s">
        <v>820</v>
      </c>
      <c r="C621" t="s">
        <v>819</v>
      </c>
      <c r="D621" t="s">
        <v>988</v>
      </c>
      <c r="E621" t="s">
        <v>991</v>
      </c>
      <c r="F621" t="s">
        <v>992</v>
      </c>
      <c r="G621" t="s">
        <v>651</v>
      </c>
      <c r="H621" t="str">
        <f t="shared" si="9"/>
        <v>029C015904.01</v>
      </c>
    </row>
    <row r="622" spans="1:8" x14ac:dyDescent="0.25">
      <c r="A622">
        <v>314</v>
      </c>
      <c r="B622" t="s">
        <v>775</v>
      </c>
      <c r="C622" t="s">
        <v>774</v>
      </c>
      <c r="D622" t="s">
        <v>988</v>
      </c>
      <c r="E622" t="s">
        <v>991</v>
      </c>
      <c r="F622" t="s">
        <v>992</v>
      </c>
      <c r="G622" t="s">
        <v>651</v>
      </c>
      <c r="H622" t="str">
        <f t="shared" si="9"/>
        <v>029C002758.00</v>
      </c>
    </row>
    <row r="623" spans="1:8" x14ac:dyDescent="0.25">
      <c r="A623">
        <v>314</v>
      </c>
      <c r="B623" t="s">
        <v>775</v>
      </c>
      <c r="C623" t="s">
        <v>774</v>
      </c>
      <c r="D623" t="s">
        <v>988</v>
      </c>
      <c r="E623" t="s">
        <v>991</v>
      </c>
      <c r="F623" t="s">
        <v>992</v>
      </c>
      <c r="G623" t="s">
        <v>651</v>
      </c>
      <c r="H623" t="str">
        <f t="shared" si="9"/>
        <v>029C002758.01</v>
      </c>
    </row>
    <row r="624" spans="1:8" x14ac:dyDescent="0.25">
      <c r="A624">
        <v>315</v>
      </c>
      <c r="B624" t="s">
        <v>769</v>
      </c>
      <c r="C624" t="s">
        <v>768</v>
      </c>
      <c r="D624" t="s">
        <v>988</v>
      </c>
      <c r="E624" t="s">
        <v>989</v>
      </c>
      <c r="F624" t="s">
        <v>990</v>
      </c>
      <c r="G624" t="s">
        <v>621</v>
      </c>
      <c r="H624" t="str">
        <f t="shared" si="9"/>
        <v>029C002477.00</v>
      </c>
    </row>
    <row r="625" spans="1:8" x14ac:dyDescent="0.25">
      <c r="A625">
        <v>315</v>
      </c>
      <c r="B625" t="s">
        <v>769</v>
      </c>
      <c r="C625" t="s">
        <v>768</v>
      </c>
      <c r="D625" t="s">
        <v>988</v>
      </c>
      <c r="E625" t="s">
        <v>989</v>
      </c>
      <c r="F625" t="s">
        <v>990</v>
      </c>
      <c r="G625" t="s">
        <v>621</v>
      </c>
      <c r="H625" t="str">
        <f t="shared" si="9"/>
        <v>029C002477.01</v>
      </c>
    </row>
    <row r="626" spans="1:8" x14ac:dyDescent="0.25">
      <c r="A626">
        <v>316</v>
      </c>
      <c r="B626" t="s">
        <v>893</v>
      </c>
      <c r="C626" t="s">
        <v>892</v>
      </c>
      <c r="D626" t="s">
        <v>988</v>
      </c>
      <c r="E626" t="s">
        <v>991</v>
      </c>
      <c r="F626" t="s">
        <v>992</v>
      </c>
      <c r="G626" t="s">
        <v>651</v>
      </c>
      <c r="H626" t="str">
        <f t="shared" si="9"/>
        <v>029C278811.00</v>
      </c>
    </row>
    <row r="627" spans="1:8" x14ac:dyDescent="0.25">
      <c r="A627">
        <v>316</v>
      </c>
      <c r="B627" t="s">
        <v>893</v>
      </c>
      <c r="C627" t="s">
        <v>892</v>
      </c>
      <c r="D627" t="s">
        <v>988</v>
      </c>
      <c r="E627" t="s">
        <v>991</v>
      </c>
      <c r="F627" t="s">
        <v>992</v>
      </c>
      <c r="G627" t="s">
        <v>651</v>
      </c>
      <c r="H627" t="str">
        <f t="shared" si="9"/>
        <v>029C278811.01</v>
      </c>
    </row>
    <row r="628" spans="1:8" x14ac:dyDescent="0.25">
      <c r="A628">
        <v>317</v>
      </c>
      <c r="B628" t="s">
        <v>765</v>
      </c>
      <c r="C628" t="s">
        <v>764</v>
      </c>
      <c r="D628" t="s">
        <v>988</v>
      </c>
      <c r="E628" t="s">
        <v>991</v>
      </c>
      <c r="F628" t="s">
        <v>992</v>
      </c>
      <c r="G628" t="s">
        <v>651</v>
      </c>
      <c r="H628" t="str">
        <f t="shared" si="9"/>
        <v>029C002474.00</v>
      </c>
    </row>
    <row r="629" spans="1:8" x14ac:dyDescent="0.25">
      <c r="A629">
        <v>317</v>
      </c>
      <c r="B629" t="s">
        <v>765</v>
      </c>
      <c r="C629" t="s">
        <v>764</v>
      </c>
      <c r="D629" t="s">
        <v>988</v>
      </c>
      <c r="E629" t="s">
        <v>991</v>
      </c>
      <c r="F629" t="s">
        <v>992</v>
      </c>
      <c r="G629" t="s">
        <v>651</v>
      </c>
      <c r="H629" t="str">
        <f t="shared" si="9"/>
        <v>029C002474.01</v>
      </c>
    </row>
    <row r="630" spans="1:8" x14ac:dyDescent="0.25">
      <c r="A630">
        <v>318</v>
      </c>
      <c r="B630" t="s">
        <v>767</v>
      </c>
      <c r="C630" t="s">
        <v>766</v>
      </c>
      <c r="D630" t="s">
        <v>988</v>
      </c>
      <c r="E630" t="s">
        <v>991</v>
      </c>
      <c r="F630" t="s">
        <v>992</v>
      </c>
      <c r="G630" t="s">
        <v>621</v>
      </c>
      <c r="H630" t="str">
        <f t="shared" si="9"/>
        <v>029C002476.00</v>
      </c>
    </row>
    <row r="631" spans="1:8" x14ac:dyDescent="0.25">
      <c r="A631">
        <v>318</v>
      </c>
      <c r="B631" t="s">
        <v>767</v>
      </c>
      <c r="C631" t="s">
        <v>766</v>
      </c>
      <c r="D631" t="s">
        <v>988</v>
      </c>
      <c r="E631" t="s">
        <v>991</v>
      </c>
      <c r="F631" t="s">
        <v>992</v>
      </c>
      <c r="G631" t="s">
        <v>621</v>
      </c>
      <c r="H631" t="str">
        <f t="shared" si="9"/>
        <v>029C002476.01</v>
      </c>
    </row>
    <row r="632" spans="1:8" x14ac:dyDescent="0.25">
      <c r="A632">
        <v>319</v>
      </c>
      <c r="B632" t="s">
        <v>909</v>
      </c>
      <c r="C632" t="s">
        <v>908</v>
      </c>
      <c r="D632" t="s">
        <v>988</v>
      </c>
      <c r="E632" t="s">
        <v>991</v>
      </c>
      <c r="F632" t="s">
        <v>992</v>
      </c>
      <c r="G632" t="s">
        <v>694</v>
      </c>
      <c r="H632" t="str">
        <f t="shared" si="9"/>
        <v>029C866868.00</v>
      </c>
    </row>
    <row r="633" spans="1:8" x14ac:dyDescent="0.25">
      <c r="A633">
        <v>319</v>
      </c>
      <c r="B633" t="s">
        <v>909</v>
      </c>
      <c r="C633" t="s">
        <v>908</v>
      </c>
      <c r="D633" t="s">
        <v>988</v>
      </c>
      <c r="E633" t="s">
        <v>991</v>
      </c>
      <c r="F633" t="s">
        <v>992</v>
      </c>
      <c r="G633" t="s">
        <v>694</v>
      </c>
      <c r="H633" t="str">
        <f t="shared" si="9"/>
        <v>029C866868.01</v>
      </c>
    </row>
    <row r="634" spans="1:8" x14ac:dyDescent="0.25">
      <c r="A634">
        <v>320</v>
      </c>
      <c r="B634" t="s">
        <v>922</v>
      </c>
      <c r="C634" t="s">
        <v>372</v>
      </c>
      <c r="D634" t="s">
        <v>923</v>
      </c>
      <c r="E634" t="s">
        <v>925</v>
      </c>
      <c r="F634" t="s">
        <v>926</v>
      </c>
      <c r="G634" t="s">
        <v>224</v>
      </c>
      <c r="H634" t="str">
        <f t="shared" si="9"/>
        <v>029C992961.00</v>
      </c>
    </row>
    <row r="635" spans="1:8" x14ac:dyDescent="0.25">
      <c r="A635">
        <v>320</v>
      </c>
      <c r="B635" t="s">
        <v>922</v>
      </c>
      <c r="C635" t="s">
        <v>372</v>
      </c>
      <c r="D635" t="s">
        <v>923</v>
      </c>
      <c r="E635" t="s">
        <v>925</v>
      </c>
      <c r="F635" t="s">
        <v>926</v>
      </c>
      <c r="G635" t="s">
        <v>224</v>
      </c>
      <c r="H635" t="str">
        <f t="shared" si="9"/>
        <v>029C992961.01</v>
      </c>
    </row>
    <row r="636" spans="1:8" x14ac:dyDescent="0.25">
      <c r="A636">
        <v>321</v>
      </c>
      <c r="B636" t="s">
        <v>537</v>
      </c>
      <c r="C636" t="s">
        <v>536</v>
      </c>
      <c r="D636" t="s">
        <v>923</v>
      </c>
      <c r="E636" t="s">
        <v>925</v>
      </c>
      <c r="F636" t="s">
        <v>926</v>
      </c>
      <c r="G636" t="s">
        <v>533</v>
      </c>
      <c r="H636" t="str">
        <f t="shared" si="9"/>
        <v>029C992471.00</v>
      </c>
    </row>
    <row r="637" spans="1:8" x14ac:dyDescent="0.25">
      <c r="A637">
        <v>321</v>
      </c>
      <c r="B637" t="s">
        <v>537</v>
      </c>
      <c r="C637" t="s">
        <v>536</v>
      </c>
      <c r="D637" t="s">
        <v>923</v>
      </c>
      <c r="E637" t="s">
        <v>925</v>
      </c>
      <c r="F637" t="s">
        <v>926</v>
      </c>
      <c r="G637" t="s">
        <v>533</v>
      </c>
      <c r="H637" t="str">
        <f t="shared" si="9"/>
        <v>029C992471.01</v>
      </c>
    </row>
    <row r="638" spans="1:8" x14ac:dyDescent="0.25">
      <c r="A638">
        <v>322</v>
      </c>
      <c r="B638" t="s">
        <v>927</v>
      </c>
      <c r="C638" t="s">
        <v>513</v>
      </c>
      <c r="D638" t="s">
        <v>923</v>
      </c>
      <c r="E638" t="s">
        <v>925</v>
      </c>
      <c r="F638" t="s">
        <v>926</v>
      </c>
      <c r="G638" t="s">
        <v>504</v>
      </c>
      <c r="H638" t="str">
        <f t="shared" si="9"/>
        <v>029C037409.00</v>
      </c>
    </row>
    <row r="639" spans="1:8" x14ac:dyDescent="0.25">
      <c r="A639">
        <v>322</v>
      </c>
      <c r="B639" t="s">
        <v>927</v>
      </c>
      <c r="C639" t="s">
        <v>513</v>
      </c>
      <c r="D639" t="s">
        <v>923</v>
      </c>
      <c r="E639" t="s">
        <v>925</v>
      </c>
      <c r="F639" t="s">
        <v>926</v>
      </c>
      <c r="G639" t="s">
        <v>504</v>
      </c>
      <c r="H639" t="str">
        <f t="shared" si="9"/>
        <v>029C037409.01</v>
      </c>
    </row>
    <row r="640" spans="1:8" x14ac:dyDescent="0.25">
      <c r="A640">
        <v>323</v>
      </c>
      <c r="B640" t="s">
        <v>535</v>
      </c>
      <c r="C640" t="s">
        <v>534</v>
      </c>
      <c r="D640" t="s">
        <v>923</v>
      </c>
      <c r="E640" t="s">
        <v>929</v>
      </c>
      <c r="F640" t="s">
        <v>930</v>
      </c>
      <c r="G640" t="s">
        <v>533</v>
      </c>
      <c r="H640" t="str">
        <f t="shared" si="9"/>
        <v>029C002383.00</v>
      </c>
    </row>
    <row r="641" spans="1:8" x14ac:dyDescent="0.25">
      <c r="A641">
        <v>323</v>
      </c>
      <c r="B641" t="s">
        <v>535</v>
      </c>
      <c r="C641" t="s">
        <v>534</v>
      </c>
      <c r="D641" t="s">
        <v>923</v>
      </c>
      <c r="E641" t="s">
        <v>929</v>
      </c>
      <c r="F641" t="s">
        <v>930</v>
      </c>
      <c r="G641" t="s">
        <v>533</v>
      </c>
      <c r="H641" t="str">
        <f t="shared" si="9"/>
        <v>029C002383.01</v>
      </c>
    </row>
    <row r="642" spans="1:8" x14ac:dyDescent="0.25">
      <c r="A642">
        <v>324</v>
      </c>
      <c r="B642" t="s">
        <v>509</v>
      </c>
      <c r="C642" t="s">
        <v>508</v>
      </c>
      <c r="D642" t="s">
        <v>923</v>
      </c>
      <c r="E642" t="s">
        <v>931</v>
      </c>
      <c r="F642" t="s">
        <v>930</v>
      </c>
      <c r="G642" t="s">
        <v>504</v>
      </c>
      <c r="H642" t="str">
        <f t="shared" ref="H642:H705" si="10">C642&amp;IF(MOD(ROW(),2)=0,".00",".01")</f>
        <v>029C002382.00</v>
      </c>
    </row>
    <row r="643" spans="1:8" x14ac:dyDescent="0.25">
      <c r="A643">
        <v>324</v>
      </c>
      <c r="B643" t="s">
        <v>509</v>
      </c>
      <c r="C643" t="s">
        <v>508</v>
      </c>
      <c r="D643" t="s">
        <v>923</v>
      </c>
      <c r="E643" t="s">
        <v>931</v>
      </c>
      <c r="F643" t="s">
        <v>930</v>
      </c>
      <c r="G643" t="s">
        <v>504</v>
      </c>
      <c r="H643" t="str">
        <f t="shared" si="10"/>
        <v>029C002382.01</v>
      </c>
    </row>
    <row r="644" spans="1:8" x14ac:dyDescent="0.25">
      <c r="A644">
        <v>325</v>
      </c>
      <c r="B644" t="s">
        <v>491</v>
      </c>
      <c r="C644" t="s">
        <v>490</v>
      </c>
      <c r="D644" t="s">
        <v>923</v>
      </c>
      <c r="E644" t="s">
        <v>932</v>
      </c>
      <c r="F644" t="s">
        <v>930</v>
      </c>
      <c r="G644" t="s">
        <v>487</v>
      </c>
      <c r="H644" t="str">
        <f t="shared" si="10"/>
        <v>029C002384.00</v>
      </c>
    </row>
    <row r="645" spans="1:8" x14ac:dyDescent="0.25">
      <c r="A645">
        <v>325</v>
      </c>
      <c r="B645" t="s">
        <v>491</v>
      </c>
      <c r="C645" t="s">
        <v>490</v>
      </c>
      <c r="D645" t="s">
        <v>923</v>
      </c>
      <c r="E645" t="s">
        <v>932</v>
      </c>
      <c r="F645" t="s">
        <v>930</v>
      </c>
      <c r="G645" t="s">
        <v>487</v>
      </c>
      <c r="H645" t="str">
        <f t="shared" si="10"/>
        <v>029C002384.01</v>
      </c>
    </row>
    <row r="646" spans="1:8" x14ac:dyDescent="0.25">
      <c r="A646">
        <v>326</v>
      </c>
      <c r="B646" t="s">
        <v>493</v>
      </c>
      <c r="C646" t="s">
        <v>492</v>
      </c>
      <c r="D646" t="s">
        <v>923</v>
      </c>
      <c r="E646" t="s">
        <v>933</v>
      </c>
      <c r="F646" t="s">
        <v>930</v>
      </c>
      <c r="G646" t="s">
        <v>487</v>
      </c>
      <c r="H646" t="str">
        <f t="shared" si="10"/>
        <v>029C002380.00</v>
      </c>
    </row>
    <row r="647" spans="1:8" x14ac:dyDescent="0.25">
      <c r="A647">
        <v>326</v>
      </c>
      <c r="B647" t="s">
        <v>493</v>
      </c>
      <c r="C647" t="s">
        <v>492</v>
      </c>
      <c r="D647" t="s">
        <v>923</v>
      </c>
      <c r="E647" t="s">
        <v>933</v>
      </c>
      <c r="F647" t="s">
        <v>930</v>
      </c>
      <c r="G647" t="s">
        <v>487</v>
      </c>
      <c r="H647" t="str">
        <f t="shared" si="10"/>
        <v>029C002380.01</v>
      </c>
    </row>
    <row r="648" spans="1:8" x14ac:dyDescent="0.25">
      <c r="A648">
        <v>327</v>
      </c>
      <c r="B648" t="s">
        <v>363</v>
      </c>
      <c r="C648" t="s">
        <v>362</v>
      </c>
      <c r="D648" t="s">
        <v>923</v>
      </c>
      <c r="E648" t="s">
        <v>934</v>
      </c>
      <c r="F648" t="s">
        <v>930</v>
      </c>
      <c r="G648" t="s">
        <v>224</v>
      </c>
      <c r="H648" t="str">
        <f t="shared" si="10"/>
        <v>029C003573.00</v>
      </c>
    </row>
    <row r="649" spans="1:8" x14ac:dyDescent="0.25">
      <c r="A649">
        <v>327</v>
      </c>
      <c r="B649" t="s">
        <v>363</v>
      </c>
      <c r="C649" t="s">
        <v>362</v>
      </c>
      <c r="D649" t="s">
        <v>923</v>
      </c>
      <c r="E649" t="s">
        <v>934</v>
      </c>
      <c r="F649" t="s">
        <v>930</v>
      </c>
      <c r="G649" t="s">
        <v>224</v>
      </c>
      <c r="H649" t="str">
        <f t="shared" si="10"/>
        <v>029C003573.01</v>
      </c>
    </row>
    <row r="650" spans="1:8" x14ac:dyDescent="0.25">
      <c r="A650">
        <v>328</v>
      </c>
      <c r="B650" t="s">
        <v>264</v>
      </c>
      <c r="C650" t="s">
        <v>263</v>
      </c>
      <c r="D650" t="s">
        <v>923</v>
      </c>
      <c r="E650" t="s">
        <v>936</v>
      </c>
      <c r="F650" t="s">
        <v>937</v>
      </c>
      <c r="G650" t="s">
        <v>224</v>
      </c>
      <c r="H650" t="str">
        <f t="shared" si="10"/>
        <v>029C311975.00</v>
      </c>
    </row>
    <row r="651" spans="1:8" x14ac:dyDescent="0.25">
      <c r="A651">
        <v>328</v>
      </c>
      <c r="B651" t="s">
        <v>264</v>
      </c>
      <c r="C651" t="s">
        <v>263</v>
      </c>
      <c r="D651" t="s">
        <v>923</v>
      </c>
      <c r="E651" t="s">
        <v>936</v>
      </c>
      <c r="F651" t="s">
        <v>937</v>
      </c>
      <c r="G651" t="s">
        <v>224</v>
      </c>
      <c r="H651" t="str">
        <f t="shared" si="10"/>
        <v>029C311975.01</v>
      </c>
    </row>
    <row r="652" spans="1:8" x14ac:dyDescent="0.25">
      <c r="A652">
        <v>329</v>
      </c>
      <c r="B652" t="s">
        <v>266</v>
      </c>
      <c r="C652" t="s">
        <v>265</v>
      </c>
      <c r="D652" t="s">
        <v>923</v>
      </c>
      <c r="E652" t="s">
        <v>938</v>
      </c>
      <c r="F652" t="s">
        <v>937</v>
      </c>
      <c r="G652" t="s">
        <v>224</v>
      </c>
      <c r="H652" t="str">
        <f t="shared" si="10"/>
        <v>029C015323.00</v>
      </c>
    </row>
    <row r="653" spans="1:8" x14ac:dyDescent="0.25">
      <c r="A653">
        <v>329</v>
      </c>
      <c r="B653" t="s">
        <v>266</v>
      </c>
      <c r="C653" t="s">
        <v>265</v>
      </c>
      <c r="D653" t="s">
        <v>923</v>
      </c>
      <c r="E653" t="s">
        <v>938</v>
      </c>
      <c r="F653" t="s">
        <v>937</v>
      </c>
      <c r="G653" t="s">
        <v>224</v>
      </c>
      <c r="H653" t="str">
        <f t="shared" si="10"/>
        <v>029C015323.01</v>
      </c>
    </row>
    <row r="654" spans="1:8" x14ac:dyDescent="0.25">
      <c r="A654">
        <v>330</v>
      </c>
      <c r="B654" t="s">
        <v>104</v>
      </c>
      <c r="C654" t="s">
        <v>103</v>
      </c>
      <c r="D654" t="s">
        <v>923</v>
      </c>
      <c r="E654" t="s">
        <v>939</v>
      </c>
      <c r="F654" t="s">
        <v>937</v>
      </c>
      <c r="H654" t="str">
        <f t="shared" si="10"/>
        <v>029C015744.00</v>
      </c>
    </row>
    <row r="655" spans="1:8" x14ac:dyDescent="0.25">
      <c r="A655">
        <v>330</v>
      </c>
      <c r="B655" t="s">
        <v>104</v>
      </c>
      <c r="C655" t="s">
        <v>103</v>
      </c>
      <c r="D655" t="s">
        <v>923</v>
      </c>
      <c r="E655" t="s">
        <v>939</v>
      </c>
      <c r="F655" t="s">
        <v>937</v>
      </c>
      <c r="H655" t="str">
        <f t="shared" si="10"/>
        <v>029C015744.01</v>
      </c>
    </row>
    <row r="656" spans="1:8" x14ac:dyDescent="0.25">
      <c r="A656">
        <v>331</v>
      </c>
      <c r="B656" t="s">
        <v>940</v>
      </c>
      <c r="C656" t="s">
        <v>166</v>
      </c>
      <c r="D656" t="s">
        <v>923</v>
      </c>
      <c r="E656" t="s">
        <v>941</v>
      </c>
      <c r="F656" t="s">
        <v>937</v>
      </c>
      <c r="G656" t="s">
        <v>162</v>
      </c>
      <c r="H656" t="str">
        <f t="shared" si="10"/>
        <v>029C001067.00</v>
      </c>
    </row>
    <row r="657" spans="1:8" x14ac:dyDescent="0.25">
      <c r="A657">
        <v>331</v>
      </c>
      <c r="B657" t="s">
        <v>940</v>
      </c>
      <c r="C657" t="s">
        <v>166</v>
      </c>
      <c r="D657" t="s">
        <v>923</v>
      </c>
      <c r="E657" t="s">
        <v>941</v>
      </c>
      <c r="F657" t="s">
        <v>937</v>
      </c>
      <c r="G657" t="s">
        <v>162</v>
      </c>
      <c r="H657" t="str">
        <f t="shared" si="10"/>
        <v>029C001067.01</v>
      </c>
    </row>
    <row r="658" spans="1:8" x14ac:dyDescent="0.25">
      <c r="A658">
        <v>332</v>
      </c>
      <c r="B658" t="s">
        <v>942</v>
      </c>
      <c r="C658" t="s">
        <v>364</v>
      </c>
      <c r="D658" t="s">
        <v>923</v>
      </c>
      <c r="E658" t="s">
        <v>943</v>
      </c>
      <c r="F658" t="s">
        <v>937</v>
      </c>
      <c r="G658" t="s">
        <v>224</v>
      </c>
      <c r="H658" t="str">
        <f t="shared" si="10"/>
        <v>029C846886.00</v>
      </c>
    </row>
    <row r="659" spans="1:8" x14ac:dyDescent="0.25">
      <c r="A659">
        <v>332</v>
      </c>
      <c r="B659" t="s">
        <v>942</v>
      </c>
      <c r="C659" t="s">
        <v>364</v>
      </c>
      <c r="D659" t="s">
        <v>923</v>
      </c>
      <c r="E659" t="s">
        <v>943</v>
      </c>
      <c r="F659" t="s">
        <v>937</v>
      </c>
      <c r="G659" t="s">
        <v>224</v>
      </c>
      <c r="H659" t="str">
        <f t="shared" si="10"/>
        <v>029C846886.01</v>
      </c>
    </row>
    <row r="660" spans="1:8" x14ac:dyDescent="0.25">
      <c r="A660">
        <v>333</v>
      </c>
      <c r="B660" t="s">
        <v>470</v>
      </c>
      <c r="C660" t="s">
        <v>121</v>
      </c>
      <c r="D660" t="s">
        <v>923</v>
      </c>
      <c r="E660" t="s">
        <v>945</v>
      </c>
      <c r="F660" t="s">
        <v>946</v>
      </c>
      <c r="G660" t="s">
        <v>83</v>
      </c>
      <c r="H660" t="str">
        <f t="shared" si="10"/>
        <v>029C024984.00</v>
      </c>
    </row>
    <row r="661" spans="1:8" x14ac:dyDescent="0.25">
      <c r="A661">
        <v>333</v>
      </c>
      <c r="B661" t="s">
        <v>470</v>
      </c>
      <c r="C661" t="s">
        <v>121</v>
      </c>
      <c r="D661" t="s">
        <v>923</v>
      </c>
      <c r="E661" t="s">
        <v>945</v>
      </c>
      <c r="F661" t="s">
        <v>946</v>
      </c>
      <c r="G661" t="s">
        <v>83</v>
      </c>
      <c r="H661" t="str">
        <f t="shared" si="10"/>
        <v>029C024984.01</v>
      </c>
    </row>
    <row r="662" spans="1:8" x14ac:dyDescent="0.25">
      <c r="A662">
        <v>334</v>
      </c>
      <c r="B662" t="s">
        <v>497</v>
      </c>
      <c r="C662" t="s">
        <v>496</v>
      </c>
      <c r="D662" t="s">
        <v>923</v>
      </c>
      <c r="E662" t="s">
        <v>945</v>
      </c>
      <c r="F662" t="s">
        <v>946</v>
      </c>
      <c r="G662" t="s">
        <v>487</v>
      </c>
      <c r="H662" t="str">
        <f t="shared" si="10"/>
        <v>029C280193.00</v>
      </c>
    </row>
    <row r="663" spans="1:8" x14ac:dyDescent="0.25">
      <c r="A663">
        <v>334</v>
      </c>
      <c r="B663" t="s">
        <v>497</v>
      </c>
      <c r="C663" t="s">
        <v>496</v>
      </c>
      <c r="D663" t="s">
        <v>923</v>
      </c>
      <c r="E663" t="s">
        <v>945</v>
      </c>
      <c r="F663" t="s">
        <v>946</v>
      </c>
      <c r="G663" t="s">
        <v>487</v>
      </c>
      <c r="H663" t="str">
        <f t="shared" si="10"/>
        <v>029C280193.01</v>
      </c>
    </row>
    <row r="664" spans="1:8" x14ac:dyDescent="0.25">
      <c r="A664">
        <v>335</v>
      </c>
      <c r="B664" t="s">
        <v>473</v>
      </c>
      <c r="C664" t="s">
        <v>472</v>
      </c>
      <c r="D664" t="s">
        <v>923</v>
      </c>
      <c r="E664" t="s">
        <v>947</v>
      </c>
      <c r="F664" t="s">
        <v>948</v>
      </c>
      <c r="G664" t="s">
        <v>471</v>
      </c>
      <c r="H664" t="str">
        <f t="shared" si="10"/>
        <v>029C004045.00</v>
      </c>
    </row>
    <row r="665" spans="1:8" x14ac:dyDescent="0.25">
      <c r="A665">
        <v>335</v>
      </c>
      <c r="B665" t="s">
        <v>473</v>
      </c>
      <c r="C665" t="s">
        <v>472</v>
      </c>
      <c r="D665" t="s">
        <v>923</v>
      </c>
      <c r="E665" t="s">
        <v>947</v>
      </c>
      <c r="F665" t="s">
        <v>948</v>
      </c>
      <c r="G665" t="s">
        <v>471</v>
      </c>
      <c r="H665" t="str">
        <f t="shared" si="10"/>
        <v>029C004045.01</v>
      </c>
    </row>
    <row r="666" spans="1:8" x14ac:dyDescent="0.25">
      <c r="A666">
        <v>336</v>
      </c>
      <c r="B666" t="s">
        <v>120</v>
      </c>
      <c r="C666" t="s">
        <v>119</v>
      </c>
      <c r="D666" t="s">
        <v>923</v>
      </c>
      <c r="E666" t="s">
        <v>949</v>
      </c>
      <c r="F666" t="s">
        <v>950</v>
      </c>
      <c r="G666" t="s">
        <v>83</v>
      </c>
      <c r="H666" t="str">
        <f t="shared" si="10"/>
        <v>029C041830.00</v>
      </c>
    </row>
    <row r="667" spans="1:8" x14ac:dyDescent="0.25">
      <c r="A667">
        <v>336</v>
      </c>
      <c r="B667" t="s">
        <v>120</v>
      </c>
      <c r="C667" t="s">
        <v>119</v>
      </c>
      <c r="D667" t="s">
        <v>923</v>
      </c>
      <c r="E667" t="s">
        <v>949</v>
      </c>
      <c r="F667" t="s">
        <v>950</v>
      </c>
      <c r="G667" t="s">
        <v>83</v>
      </c>
      <c r="H667" t="str">
        <f t="shared" si="10"/>
        <v>029C041830.01</v>
      </c>
    </row>
    <row r="668" spans="1:8" x14ac:dyDescent="0.25">
      <c r="A668">
        <v>337</v>
      </c>
      <c r="B668" t="s">
        <v>420</v>
      </c>
      <c r="C668" t="s">
        <v>419</v>
      </c>
      <c r="D668" t="s">
        <v>923</v>
      </c>
      <c r="E668" t="s">
        <v>951</v>
      </c>
      <c r="F668" t="s">
        <v>950</v>
      </c>
      <c r="G668" t="s">
        <v>384</v>
      </c>
      <c r="H668" t="str">
        <f t="shared" si="10"/>
        <v>029C004426.00</v>
      </c>
    </row>
    <row r="669" spans="1:8" x14ac:dyDescent="0.25">
      <c r="A669">
        <v>337</v>
      </c>
      <c r="B669" t="s">
        <v>420</v>
      </c>
      <c r="C669" t="s">
        <v>419</v>
      </c>
      <c r="D669" t="s">
        <v>923</v>
      </c>
      <c r="E669" t="s">
        <v>951</v>
      </c>
      <c r="F669" t="s">
        <v>950</v>
      </c>
      <c r="G669" t="s">
        <v>384</v>
      </c>
      <c r="H669" t="str">
        <f t="shared" si="10"/>
        <v>029C004426.01</v>
      </c>
    </row>
    <row r="670" spans="1:8" x14ac:dyDescent="0.25">
      <c r="A670">
        <v>338</v>
      </c>
      <c r="B670" t="s">
        <v>547</v>
      </c>
      <c r="C670" t="s">
        <v>546</v>
      </c>
      <c r="D670" t="s">
        <v>923</v>
      </c>
      <c r="E670" t="s">
        <v>952</v>
      </c>
      <c r="F670" t="s">
        <v>950</v>
      </c>
      <c r="G670" t="s">
        <v>543</v>
      </c>
      <c r="H670" t="str">
        <f t="shared" si="10"/>
        <v>029C003736.00</v>
      </c>
    </row>
    <row r="671" spans="1:8" x14ac:dyDescent="0.25">
      <c r="A671">
        <v>338</v>
      </c>
      <c r="B671" t="s">
        <v>547</v>
      </c>
      <c r="C671" t="s">
        <v>546</v>
      </c>
      <c r="D671" t="s">
        <v>923</v>
      </c>
      <c r="E671" t="s">
        <v>952</v>
      </c>
      <c r="F671" t="s">
        <v>950</v>
      </c>
      <c r="G671" t="s">
        <v>543</v>
      </c>
      <c r="H671" t="str">
        <f t="shared" si="10"/>
        <v>029C003736.01</v>
      </c>
    </row>
    <row r="672" spans="1:8" x14ac:dyDescent="0.25">
      <c r="A672">
        <v>339</v>
      </c>
      <c r="B672" t="s">
        <v>468</v>
      </c>
      <c r="C672" t="s">
        <v>467</v>
      </c>
      <c r="D672" t="s">
        <v>923</v>
      </c>
      <c r="E672" t="s">
        <v>953</v>
      </c>
      <c r="F672" t="s">
        <v>950</v>
      </c>
      <c r="G672" t="s">
        <v>336</v>
      </c>
      <c r="H672" t="str">
        <f t="shared" si="10"/>
        <v>029C008479.00</v>
      </c>
    </row>
    <row r="673" spans="1:8" x14ac:dyDescent="0.25">
      <c r="A673">
        <v>339</v>
      </c>
      <c r="B673" t="s">
        <v>468</v>
      </c>
      <c r="C673" t="s">
        <v>467</v>
      </c>
      <c r="D673" t="s">
        <v>923</v>
      </c>
      <c r="E673" t="s">
        <v>953</v>
      </c>
      <c r="F673" t="s">
        <v>950</v>
      </c>
      <c r="G673" t="s">
        <v>336</v>
      </c>
      <c r="H673" t="str">
        <f t="shared" si="10"/>
        <v>029C008479.01</v>
      </c>
    </row>
    <row r="674" spans="1:8" x14ac:dyDescent="0.25">
      <c r="A674">
        <v>340</v>
      </c>
      <c r="B674" t="s">
        <v>122</v>
      </c>
      <c r="C674" t="s">
        <v>121</v>
      </c>
      <c r="D674" t="s">
        <v>923</v>
      </c>
      <c r="E674" t="s">
        <v>954</v>
      </c>
      <c r="F674" t="s">
        <v>950</v>
      </c>
      <c r="G674" t="s">
        <v>83</v>
      </c>
      <c r="H674" t="str">
        <f t="shared" si="10"/>
        <v>029C024984.00</v>
      </c>
    </row>
    <row r="675" spans="1:8" x14ac:dyDescent="0.25">
      <c r="A675">
        <v>340</v>
      </c>
      <c r="B675" t="s">
        <v>122</v>
      </c>
      <c r="C675" t="s">
        <v>121</v>
      </c>
      <c r="D675" t="s">
        <v>923</v>
      </c>
      <c r="E675" t="s">
        <v>954</v>
      </c>
      <c r="F675" t="s">
        <v>950</v>
      </c>
      <c r="G675" t="s">
        <v>83</v>
      </c>
      <c r="H675" t="str">
        <f t="shared" si="10"/>
        <v>029C024984.01</v>
      </c>
    </row>
    <row r="676" spans="1:8" x14ac:dyDescent="0.25">
      <c r="A676">
        <v>341</v>
      </c>
      <c r="B676" t="s">
        <v>371</v>
      </c>
      <c r="C676" t="s">
        <v>370</v>
      </c>
      <c r="D676" t="s">
        <v>923</v>
      </c>
      <c r="E676" t="s">
        <v>956</v>
      </c>
      <c r="F676" t="s">
        <v>957</v>
      </c>
      <c r="G676" t="s">
        <v>224</v>
      </c>
      <c r="H676" t="str">
        <f t="shared" si="10"/>
        <v>029C018883.00</v>
      </c>
    </row>
    <row r="677" spans="1:8" x14ac:dyDescent="0.25">
      <c r="A677">
        <v>341</v>
      </c>
      <c r="B677" t="s">
        <v>371</v>
      </c>
      <c r="C677" t="s">
        <v>370</v>
      </c>
      <c r="D677" t="s">
        <v>923</v>
      </c>
      <c r="E677" t="s">
        <v>956</v>
      </c>
      <c r="F677" t="s">
        <v>957</v>
      </c>
      <c r="G677" t="s">
        <v>224</v>
      </c>
      <c r="H677" t="str">
        <f t="shared" si="10"/>
        <v>029C018883.01</v>
      </c>
    </row>
    <row r="678" spans="1:8" x14ac:dyDescent="0.25">
      <c r="A678">
        <v>342</v>
      </c>
      <c r="B678" t="s">
        <v>495</v>
      </c>
      <c r="C678" t="s">
        <v>494</v>
      </c>
      <c r="D678" t="s">
        <v>923</v>
      </c>
      <c r="E678" t="s">
        <v>956</v>
      </c>
      <c r="F678" t="s">
        <v>957</v>
      </c>
      <c r="G678" t="s">
        <v>487</v>
      </c>
      <c r="H678" t="str">
        <f t="shared" si="10"/>
        <v>029C014308.00</v>
      </c>
    </row>
    <row r="679" spans="1:8" x14ac:dyDescent="0.25">
      <c r="A679">
        <v>342</v>
      </c>
      <c r="B679" t="s">
        <v>495</v>
      </c>
      <c r="C679" t="s">
        <v>494</v>
      </c>
      <c r="D679" t="s">
        <v>923</v>
      </c>
      <c r="E679" t="s">
        <v>956</v>
      </c>
      <c r="F679" t="s">
        <v>957</v>
      </c>
      <c r="G679" t="s">
        <v>487</v>
      </c>
      <c r="H679" t="str">
        <f t="shared" si="10"/>
        <v>029C014308.01</v>
      </c>
    </row>
    <row r="680" spans="1:8" x14ac:dyDescent="0.25">
      <c r="A680">
        <v>343</v>
      </c>
      <c r="B680" t="s">
        <v>80</v>
      </c>
      <c r="C680" t="s">
        <v>79</v>
      </c>
      <c r="D680" t="s">
        <v>923</v>
      </c>
      <c r="E680" t="s">
        <v>959</v>
      </c>
      <c r="F680" t="s">
        <v>960</v>
      </c>
      <c r="H680" t="str">
        <f t="shared" si="10"/>
        <v>029C012160.00</v>
      </c>
    </row>
    <row r="681" spans="1:8" x14ac:dyDescent="0.25">
      <c r="A681">
        <v>343</v>
      </c>
      <c r="B681" t="s">
        <v>80</v>
      </c>
      <c r="C681" t="s">
        <v>79</v>
      </c>
      <c r="D681" t="s">
        <v>923</v>
      </c>
      <c r="E681" t="s">
        <v>959</v>
      </c>
      <c r="F681" t="s">
        <v>960</v>
      </c>
      <c r="H681" t="str">
        <f t="shared" si="10"/>
        <v>029C012160.01</v>
      </c>
    </row>
    <row r="682" spans="1:8" x14ac:dyDescent="0.25">
      <c r="A682">
        <v>344</v>
      </c>
      <c r="B682" t="s">
        <v>223</v>
      </c>
      <c r="C682" t="s">
        <v>222</v>
      </c>
      <c r="D682" t="s">
        <v>923</v>
      </c>
      <c r="E682" t="s">
        <v>959</v>
      </c>
      <c r="F682" t="s">
        <v>960</v>
      </c>
      <c r="G682" t="s">
        <v>162</v>
      </c>
      <c r="H682" t="str">
        <f t="shared" si="10"/>
        <v>029C009869.00</v>
      </c>
    </row>
    <row r="683" spans="1:8" x14ac:dyDescent="0.25">
      <c r="A683">
        <v>344</v>
      </c>
      <c r="B683" t="s">
        <v>223</v>
      </c>
      <c r="C683" t="s">
        <v>222</v>
      </c>
      <c r="D683" t="s">
        <v>923</v>
      </c>
      <c r="E683" t="s">
        <v>959</v>
      </c>
      <c r="F683" t="s">
        <v>960</v>
      </c>
      <c r="G683" t="s">
        <v>162</v>
      </c>
      <c r="H683" t="str">
        <f t="shared" si="10"/>
        <v>029C009869.01</v>
      </c>
    </row>
    <row r="684" spans="1:8" x14ac:dyDescent="0.25">
      <c r="A684">
        <v>345</v>
      </c>
      <c r="B684" t="s">
        <v>466</v>
      </c>
      <c r="C684" t="s">
        <v>465</v>
      </c>
      <c r="D684" t="s">
        <v>923</v>
      </c>
      <c r="E684" t="s">
        <v>959</v>
      </c>
      <c r="F684" t="s">
        <v>960</v>
      </c>
      <c r="G684" t="s">
        <v>336</v>
      </c>
      <c r="H684" t="str">
        <f t="shared" si="10"/>
        <v>029C019464.00</v>
      </c>
    </row>
    <row r="685" spans="1:8" x14ac:dyDescent="0.25">
      <c r="A685">
        <v>345</v>
      </c>
      <c r="B685" t="s">
        <v>466</v>
      </c>
      <c r="C685" t="s">
        <v>465</v>
      </c>
      <c r="D685" t="s">
        <v>923</v>
      </c>
      <c r="E685" t="s">
        <v>959</v>
      </c>
      <c r="F685" t="s">
        <v>960</v>
      </c>
      <c r="G685" t="s">
        <v>336</v>
      </c>
      <c r="H685" t="str">
        <f t="shared" si="10"/>
        <v>029C019464.01</v>
      </c>
    </row>
    <row r="686" spans="1:8" x14ac:dyDescent="0.25">
      <c r="A686">
        <v>346</v>
      </c>
      <c r="B686" t="s">
        <v>11</v>
      </c>
      <c r="C686" t="s">
        <v>10</v>
      </c>
      <c r="D686" t="s">
        <v>923</v>
      </c>
      <c r="E686" t="s">
        <v>959</v>
      </c>
      <c r="F686" t="s">
        <v>960</v>
      </c>
      <c r="H686" t="str">
        <f t="shared" si="10"/>
        <v>029C104670.00</v>
      </c>
    </row>
    <row r="687" spans="1:8" x14ac:dyDescent="0.25">
      <c r="A687">
        <v>346</v>
      </c>
      <c r="B687" t="s">
        <v>11</v>
      </c>
      <c r="C687" t="s">
        <v>10</v>
      </c>
      <c r="D687" t="s">
        <v>923</v>
      </c>
      <c r="E687" t="s">
        <v>959</v>
      </c>
      <c r="F687" t="s">
        <v>960</v>
      </c>
      <c r="H687" t="str">
        <f t="shared" si="10"/>
        <v>029C104670.01</v>
      </c>
    </row>
    <row r="688" spans="1:8" x14ac:dyDescent="0.25">
      <c r="A688">
        <v>347</v>
      </c>
      <c r="B688" t="s">
        <v>499</v>
      </c>
      <c r="C688" t="s">
        <v>498</v>
      </c>
      <c r="D688" t="s">
        <v>923</v>
      </c>
      <c r="E688" t="s">
        <v>962</v>
      </c>
      <c r="F688" t="s">
        <v>963</v>
      </c>
      <c r="G688" t="s">
        <v>487</v>
      </c>
      <c r="H688" t="str">
        <f t="shared" si="10"/>
        <v>029C736599.00</v>
      </c>
    </row>
    <row r="689" spans="1:8" x14ac:dyDescent="0.25">
      <c r="A689">
        <v>347</v>
      </c>
      <c r="B689" t="s">
        <v>499</v>
      </c>
      <c r="C689" t="s">
        <v>498</v>
      </c>
      <c r="D689" t="s">
        <v>923</v>
      </c>
      <c r="E689" t="s">
        <v>962</v>
      </c>
      <c r="F689" t="s">
        <v>963</v>
      </c>
      <c r="G689" t="s">
        <v>487</v>
      </c>
      <c r="H689" t="str">
        <f t="shared" si="10"/>
        <v>029C736599.01</v>
      </c>
    </row>
    <row r="690" spans="1:8" x14ac:dyDescent="0.25">
      <c r="A690">
        <v>348</v>
      </c>
      <c r="B690" t="s">
        <v>486</v>
      </c>
      <c r="C690" t="s">
        <v>485</v>
      </c>
      <c r="D690" t="s">
        <v>923</v>
      </c>
      <c r="G690" t="s">
        <v>474</v>
      </c>
      <c r="H690" t="str">
        <f t="shared" si="10"/>
        <v>029C004269.00</v>
      </c>
    </row>
    <row r="691" spans="1:8" x14ac:dyDescent="0.25">
      <c r="A691">
        <v>348</v>
      </c>
      <c r="B691" t="s">
        <v>486</v>
      </c>
      <c r="C691" t="s">
        <v>485</v>
      </c>
      <c r="D691" t="s">
        <v>923</v>
      </c>
      <c r="G691" t="s">
        <v>474</v>
      </c>
      <c r="H691" t="str">
        <f t="shared" si="10"/>
        <v>029C004269.01</v>
      </c>
    </row>
    <row r="692" spans="1:8" x14ac:dyDescent="0.25">
      <c r="A692">
        <v>349</v>
      </c>
      <c r="B692" t="s">
        <v>550</v>
      </c>
      <c r="C692" t="s">
        <v>549</v>
      </c>
      <c r="D692" t="s">
        <v>923</v>
      </c>
      <c r="G692" t="s">
        <v>621</v>
      </c>
      <c r="H692" t="str">
        <f t="shared" si="10"/>
        <v>029C779979.00</v>
      </c>
    </row>
    <row r="693" spans="1:8" x14ac:dyDescent="0.25">
      <c r="A693">
        <v>349</v>
      </c>
      <c r="B693" t="s">
        <v>550</v>
      </c>
      <c r="C693" t="s">
        <v>549</v>
      </c>
      <c r="D693" t="s">
        <v>923</v>
      </c>
      <c r="G693" t="s">
        <v>621</v>
      </c>
      <c r="H693" t="str">
        <f t="shared" si="10"/>
        <v>029C779979.01</v>
      </c>
    </row>
    <row r="694" spans="1:8" x14ac:dyDescent="0.25">
      <c r="A694">
        <v>350</v>
      </c>
      <c r="B694" t="s">
        <v>518</v>
      </c>
      <c r="C694" t="s">
        <v>517</v>
      </c>
      <c r="D694" t="s">
        <v>923</v>
      </c>
      <c r="E694" t="s">
        <v>962</v>
      </c>
      <c r="F694" t="s">
        <v>963</v>
      </c>
      <c r="G694" t="s">
        <v>504</v>
      </c>
      <c r="H694" t="str">
        <f t="shared" si="10"/>
        <v>029C274480.00</v>
      </c>
    </row>
    <row r="695" spans="1:8" x14ac:dyDescent="0.25">
      <c r="A695">
        <v>350</v>
      </c>
      <c r="B695" t="s">
        <v>518</v>
      </c>
      <c r="C695" t="s">
        <v>517</v>
      </c>
      <c r="D695" t="s">
        <v>923</v>
      </c>
      <c r="E695" t="s">
        <v>962</v>
      </c>
      <c r="F695" t="s">
        <v>963</v>
      </c>
      <c r="G695" t="s">
        <v>504</v>
      </c>
      <c r="H695" t="str">
        <f t="shared" si="10"/>
        <v>029C274480.01</v>
      </c>
    </row>
    <row r="696" spans="1:8" x14ac:dyDescent="0.25">
      <c r="A696">
        <v>351</v>
      </c>
      <c r="B696" t="s">
        <v>62</v>
      </c>
      <c r="C696" t="s">
        <v>61</v>
      </c>
      <c r="D696" t="s">
        <v>923</v>
      </c>
      <c r="E696" t="s">
        <v>962</v>
      </c>
      <c r="F696" t="s">
        <v>963</v>
      </c>
      <c r="H696" t="str">
        <f t="shared" si="10"/>
        <v>029C678563.00</v>
      </c>
    </row>
    <row r="697" spans="1:8" x14ac:dyDescent="0.25">
      <c r="A697">
        <v>351</v>
      </c>
      <c r="B697" t="s">
        <v>62</v>
      </c>
      <c r="C697" t="s">
        <v>61</v>
      </c>
      <c r="D697" t="s">
        <v>923</v>
      </c>
      <c r="E697" t="s">
        <v>962</v>
      </c>
      <c r="F697" t="s">
        <v>963</v>
      </c>
      <c r="H697" t="str">
        <f t="shared" si="10"/>
        <v>029C678563.01</v>
      </c>
    </row>
    <row r="698" spans="1:8" x14ac:dyDescent="0.25">
      <c r="A698">
        <v>352</v>
      </c>
      <c r="B698" t="s">
        <v>516</v>
      </c>
      <c r="C698" t="s">
        <v>515</v>
      </c>
      <c r="D698" t="s">
        <v>923</v>
      </c>
      <c r="E698" t="s">
        <v>962</v>
      </c>
      <c r="F698" t="s">
        <v>963</v>
      </c>
      <c r="G698" t="s">
        <v>504</v>
      </c>
      <c r="H698" t="str">
        <f t="shared" si="10"/>
        <v>029C187129.00</v>
      </c>
    </row>
    <row r="699" spans="1:8" x14ac:dyDescent="0.25">
      <c r="A699">
        <v>352</v>
      </c>
      <c r="B699" t="s">
        <v>516</v>
      </c>
      <c r="C699" t="s">
        <v>515</v>
      </c>
      <c r="D699" t="s">
        <v>923</v>
      </c>
      <c r="E699" t="s">
        <v>962</v>
      </c>
      <c r="F699" t="s">
        <v>963</v>
      </c>
      <c r="G699" t="s">
        <v>504</v>
      </c>
      <c r="H699" t="str">
        <f t="shared" si="10"/>
        <v>029C187129.01</v>
      </c>
    </row>
    <row r="700" spans="1:8" x14ac:dyDescent="0.25">
      <c r="A700">
        <v>353</v>
      </c>
      <c r="B700" t="s">
        <v>221</v>
      </c>
      <c r="C700" t="s">
        <v>220</v>
      </c>
      <c r="D700" t="s">
        <v>923</v>
      </c>
      <c r="E700" t="s">
        <v>962</v>
      </c>
      <c r="F700" t="s">
        <v>963</v>
      </c>
      <c r="G700" t="s">
        <v>162</v>
      </c>
      <c r="H700" t="str">
        <f t="shared" si="10"/>
        <v>029C184467.00</v>
      </c>
    </row>
    <row r="701" spans="1:8" x14ac:dyDescent="0.25">
      <c r="A701">
        <v>353</v>
      </c>
      <c r="B701" t="s">
        <v>221</v>
      </c>
      <c r="C701" t="s">
        <v>220</v>
      </c>
      <c r="D701" t="s">
        <v>923</v>
      </c>
      <c r="E701" t="s">
        <v>962</v>
      </c>
      <c r="F701" t="s">
        <v>963</v>
      </c>
      <c r="G701" t="s">
        <v>162</v>
      </c>
      <c r="H701" t="str">
        <f t="shared" si="10"/>
        <v>029C184467.01</v>
      </c>
    </row>
    <row r="702" spans="1:8" x14ac:dyDescent="0.25">
      <c r="A702">
        <v>354</v>
      </c>
      <c r="B702" t="s">
        <v>60</v>
      </c>
      <c r="C702" t="s">
        <v>59</v>
      </c>
      <c r="D702" t="s">
        <v>923</v>
      </c>
      <c r="E702" t="s">
        <v>965</v>
      </c>
      <c r="F702" t="s">
        <v>966</v>
      </c>
      <c r="H702" t="str">
        <f t="shared" si="10"/>
        <v>029C000447.00</v>
      </c>
    </row>
    <row r="703" spans="1:8" x14ac:dyDescent="0.25">
      <c r="A703">
        <v>354</v>
      </c>
      <c r="B703" t="s">
        <v>60</v>
      </c>
      <c r="C703" t="s">
        <v>59</v>
      </c>
      <c r="D703" t="s">
        <v>923</v>
      </c>
      <c r="E703" t="s">
        <v>965</v>
      </c>
      <c r="F703" t="s">
        <v>966</v>
      </c>
      <c r="H703" t="str">
        <f t="shared" si="10"/>
        <v>029C000447.01</v>
      </c>
    </row>
    <row r="704" spans="1:8" x14ac:dyDescent="0.25">
      <c r="A704">
        <v>355</v>
      </c>
      <c r="B704" t="s">
        <v>224</v>
      </c>
      <c r="C704" t="s">
        <v>269</v>
      </c>
      <c r="D704" t="s">
        <v>923</v>
      </c>
      <c r="E704" t="s">
        <v>965</v>
      </c>
      <c r="F704" t="s">
        <v>966</v>
      </c>
      <c r="G704" t="s">
        <v>224</v>
      </c>
      <c r="H704" t="str">
        <f t="shared" si="10"/>
        <v>029C008526.00</v>
      </c>
    </row>
    <row r="705" spans="1:8" x14ac:dyDescent="0.25">
      <c r="A705">
        <v>355</v>
      </c>
      <c r="B705" t="s">
        <v>224</v>
      </c>
      <c r="C705" t="s">
        <v>269</v>
      </c>
      <c r="D705" t="s">
        <v>923</v>
      </c>
      <c r="E705" t="s">
        <v>965</v>
      </c>
      <c r="F705" t="s">
        <v>966</v>
      </c>
      <c r="G705" t="s">
        <v>224</v>
      </c>
      <c r="H705" t="str">
        <f t="shared" si="10"/>
        <v>029C008526.01</v>
      </c>
    </row>
    <row r="706" spans="1:8" x14ac:dyDescent="0.25">
      <c r="A706">
        <v>356</v>
      </c>
      <c r="B706" t="s">
        <v>510</v>
      </c>
      <c r="C706" t="s">
        <v>0</v>
      </c>
      <c r="D706" t="s">
        <v>923</v>
      </c>
      <c r="E706" t="s">
        <v>968</v>
      </c>
      <c r="F706" t="s">
        <v>969</v>
      </c>
      <c r="G706" t="s">
        <v>504</v>
      </c>
      <c r="H706" t="str">
        <f t="shared" ref="H706:H735" si="11">C706&amp;IF(MOD(ROW(),2)=0,".00",".01")</f>
        <v>029C002214.00</v>
      </c>
    </row>
    <row r="707" spans="1:8" x14ac:dyDescent="0.25">
      <c r="A707">
        <v>356</v>
      </c>
      <c r="B707" t="s">
        <v>510</v>
      </c>
      <c r="C707" t="s">
        <v>0</v>
      </c>
      <c r="D707" t="s">
        <v>923</v>
      </c>
      <c r="E707" t="s">
        <v>968</v>
      </c>
      <c r="F707" t="s">
        <v>969</v>
      </c>
      <c r="G707" t="s">
        <v>504</v>
      </c>
      <c r="H707" t="str">
        <f t="shared" si="11"/>
        <v>029C002214.01</v>
      </c>
    </row>
    <row r="708" spans="1:8" x14ac:dyDescent="0.25">
      <c r="A708">
        <v>357</v>
      </c>
      <c r="B708" t="s">
        <v>351</v>
      </c>
      <c r="C708" t="s">
        <v>350</v>
      </c>
      <c r="D708" t="s">
        <v>923</v>
      </c>
      <c r="E708" t="s">
        <v>970</v>
      </c>
      <c r="F708" t="s">
        <v>971</v>
      </c>
      <c r="G708" t="s">
        <v>224</v>
      </c>
      <c r="H708" t="str">
        <f t="shared" si="11"/>
        <v>029C003358.00</v>
      </c>
    </row>
    <row r="709" spans="1:8" x14ac:dyDescent="0.25">
      <c r="A709">
        <v>357</v>
      </c>
      <c r="B709" t="s">
        <v>351</v>
      </c>
      <c r="C709" t="s">
        <v>350</v>
      </c>
      <c r="D709" t="s">
        <v>923</v>
      </c>
      <c r="E709" t="s">
        <v>970</v>
      </c>
      <c r="F709" t="s">
        <v>971</v>
      </c>
      <c r="G709" t="s">
        <v>224</v>
      </c>
      <c r="H709" t="str">
        <f t="shared" si="11"/>
        <v>029C003358.01</v>
      </c>
    </row>
    <row r="710" spans="1:8" x14ac:dyDescent="0.25">
      <c r="A710">
        <v>358</v>
      </c>
      <c r="B710" t="s">
        <v>151</v>
      </c>
      <c r="C710" t="s">
        <v>150</v>
      </c>
      <c r="D710" t="s">
        <v>923</v>
      </c>
      <c r="E710" t="s">
        <v>973</v>
      </c>
      <c r="F710" t="s">
        <v>974</v>
      </c>
      <c r="G710" t="s">
        <v>619</v>
      </c>
      <c r="H710" t="str">
        <f t="shared" si="11"/>
        <v>029C001028.00</v>
      </c>
    </row>
    <row r="711" spans="1:8" x14ac:dyDescent="0.25">
      <c r="A711">
        <v>358</v>
      </c>
      <c r="B711" t="s">
        <v>151</v>
      </c>
      <c r="C711" t="s">
        <v>150</v>
      </c>
      <c r="D711" t="s">
        <v>923</v>
      </c>
      <c r="E711" t="s">
        <v>973</v>
      </c>
      <c r="F711" t="s">
        <v>974</v>
      </c>
      <c r="G711" t="s">
        <v>619</v>
      </c>
      <c r="H711" t="str">
        <f t="shared" si="11"/>
        <v>029C001028.01</v>
      </c>
    </row>
    <row r="712" spans="1:8" x14ac:dyDescent="0.25">
      <c r="A712">
        <v>359</v>
      </c>
      <c r="B712" t="s">
        <v>149</v>
      </c>
      <c r="C712" t="s">
        <v>148</v>
      </c>
      <c r="D712" t="s">
        <v>923</v>
      </c>
      <c r="E712" t="s">
        <v>973</v>
      </c>
      <c r="F712" t="s">
        <v>974</v>
      </c>
      <c r="G712" t="s">
        <v>619</v>
      </c>
      <c r="H712" t="str">
        <f t="shared" si="11"/>
        <v>029C001027.00</v>
      </c>
    </row>
    <row r="713" spans="1:8" x14ac:dyDescent="0.25">
      <c r="A713">
        <v>359</v>
      </c>
      <c r="B713" t="s">
        <v>149</v>
      </c>
      <c r="C713" t="s">
        <v>148</v>
      </c>
      <c r="D713" t="s">
        <v>923</v>
      </c>
      <c r="E713" t="s">
        <v>973</v>
      </c>
      <c r="F713" t="s">
        <v>974</v>
      </c>
      <c r="G713" t="s">
        <v>619</v>
      </c>
      <c r="H713" t="str">
        <f t="shared" si="11"/>
        <v>029C001027.01</v>
      </c>
    </row>
    <row r="714" spans="1:8" x14ac:dyDescent="0.25">
      <c r="A714">
        <v>360</v>
      </c>
      <c r="B714" t="s">
        <v>164</v>
      </c>
      <c r="C714" t="s">
        <v>163</v>
      </c>
      <c r="D714" t="s">
        <v>923</v>
      </c>
      <c r="E714" t="s">
        <v>975</v>
      </c>
      <c r="F714" t="s">
        <v>976</v>
      </c>
      <c r="G714" t="s">
        <v>162</v>
      </c>
      <c r="H714" t="str">
        <f t="shared" si="11"/>
        <v>029C003168.00</v>
      </c>
    </row>
    <row r="715" spans="1:8" x14ac:dyDescent="0.25">
      <c r="A715">
        <v>360</v>
      </c>
      <c r="B715" t="s">
        <v>164</v>
      </c>
      <c r="C715" t="s">
        <v>163</v>
      </c>
      <c r="D715" t="s">
        <v>923</v>
      </c>
      <c r="E715" t="s">
        <v>975</v>
      </c>
      <c r="F715" t="s">
        <v>976</v>
      </c>
      <c r="G715" t="s">
        <v>162</v>
      </c>
      <c r="H715" t="str">
        <f t="shared" si="11"/>
        <v>029C003168.01</v>
      </c>
    </row>
    <row r="716" spans="1:8" x14ac:dyDescent="0.25">
      <c r="A716">
        <v>361</v>
      </c>
      <c r="B716" t="s">
        <v>456</v>
      </c>
      <c r="C716" t="s">
        <v>455</v>
      </c>
      <c r="D716" t="s">
        <v>923</v>
      </c>
      <c r="E716" t="s">
        <v>978</v>
      </c>
      <c r="F716" t="s">
        <v>979</v>
      </c>
      <c r="G716" t="s">
        <v>452</v>
      </c>
      <c r="H716" t="str">
        <f t="shared" si="11"/>
        <v>029C003219.00</v>
      </c>
    </row>
    <row r="717" spans="1:8" x14ac:dyDescent="0.25">
      <c r="A717">
        <v>361</v>
      </c>
      <c r="B717" t="s">
        <v>456</v>
      </c>
      <c r="C717" t="s">
        <v>455</v>
      </c>
      <c r="D717" t="s">
        <v>923</v>
      </c>
      <c r="E717" t="s">
        <v>978</v>
      </c>
      <c r="F717" t="s">
        <v>979</v>
      </c>
      <c r="G717" t="s">
        <v>452</v>
      </c>
      <c r="H717" t="str">
        <f t="shared" si="11"/>
        <v>029C003219.01</v>
      </c>
    </row>
    <row r="718" spans="1:8" x14ac:dyDescent="0.25">
      <c r="A718">
        <v>362</v>
      </c>
      <c r="B718" t="s">
        <v>458</v>
      </c>
      <c r="C718" t="s">
        <v>457</v>
      </c>
      <c r="D718" t="s">
        <v>923</v>
      </c>
      <c r="E718" t="s">
        <v>978</v>
      </c>
      <c r="F718" t="s">
        <v>979</v>
      </c>
      <c r="G718" t="s">
        <v>452</v>
      </c>
      <c r="H718" t="str">
        <f t="shared" si="11"/>
        <v>029C003213.00</v>
      </c>
    </row>
    <row r="719" spans="1:8" x14ac:dyDescent="0.25">
      <c r="A719">
        <v>362</v>
      </c>
      <c r="B719" t="s">
        <v>458</v>
      </c>
      <c r="C719" t="s">
        <v>457</v>
      </c>
      <c r="D719" t="s">
        <v>923</v>
      </c>
      <c r="E719" t="s">
        <v>978</v>
      </c>
      <c r="F719" t="s">
        <v>979</v>
      </c>
      <c r="G719" t="s">
        <v>452</v>
      </c>
      <c r="H719" t="str">
        <f t="shared" si="11"/>
        <v>029C003213.01</v>
      </c>
    </row>
    <row r="720" spans="1:8" x14ac:dyDescent="0.25">
      <c r="A720">
        <v>363</v>
      </c>
      <c r="B720" t="s">
        <v>460</v>
      </c>
      <c r="C720" t="s">
        <v>459</v>
      </c>
      <c r="D720" t="s">
        <v>923</v>
      </c>
      <c r="E720" t="s">
        <v>978</v>
      </c>
      <c r="F720" t="s">
        <v>979</v>
      </c>
      <c r="G720" t="s">
        <v>452</v>
      </c>
      <c r="H720" t="str">
        <f t="shared" si="11"/>
        <v>029C003327.00</v>
      </c>
    </row>
    <row r="721" spans="1:8" x14ac:dyDescent="0.25">
      <c r="A721">
        <v>363</v>
      </c>
      <c r="B721" t="s">
        <v>460</v>
      </c>
      <c r="C721" t="s">
        <v>459</v>
      </c>
      <c r="D721" t="s">
        <v>923</v>
      </c>
      <c r="E721" t="s">
        <v>978</v>
      </c>
      <c r="F721" t="s">
        <v>979</v>
      </c>
      <c r="G721" t="s">
        <v>452</v>
      </c>
      <c r="H721" t="str">
        <f t="shared" si="11"/>
        <v>029C003327.01</v>
      </c>
    </row>
    <row r="722" spans="1:8" x14ac:dyDescent="0.25">
      <c r="A722">
        <v>364</v>
      </c>
      <c r="B722" t="s">
        <v>462</v>
      </c>
      <c r="C722" t="s">
        <v>461</v>
      </c>
      <c r="D722" t="s">
        <v>923</v>
      </c>
      <c r="E722" t="s">
        <v>978</v>
      </c>
      <c r="F722" t="s">
        <v>979</v>
      </c>
      <c r="G722" t="s">
        <v>452</v>
      </c>
      <c r="H722" t="str">
        <f t="shared" si="11"/>
        <v>029C003364.00</v>
      </c>
    </row>
    <row r="723" spans="1:8" x14ac:dyDescent="0.25">
      <c r="A723">
        <v>364</v>
      </c>
      <c r="B723" t="s">
        <v>462</v>
      </c>
      <c r="C723" t="s">
        <v>461</v>
      </c>
      <c r="D723" t="s">
        <v>923</v>
      </c>
      <c r="E723" t="s">
        <v>978</v>
      </c>
      <c r="F723" t="s">
        <v>979</v>
      </c>
      <c r="G723" t="s">
        <v>452</v>
      </c>
      <c r="H723" t="str">
        <f t="shared" si="11"/>
        <v>029C003364.01</v>
      </c>
    </row>
    <row r="724" spans="1:8" x14ac:dyDescent="0.25">
      <c r="A724">
        <v>365</v>
      </c>
      <c r="B724" t="s">
        <v>464</v>
      </c>
      <c r="C724" t="s">
        <v>463</v>
      </c>
      <c r="D724" t="s">
        <v>923</v>
      </c>
      <c r="E724" t="s">
        <v>980</v>
      </c>
      <c r="F724" t="s">
        <v>981</v>
      </c>
      <c r="G724" t="s">
        <v>452</v>
      </c>
      <c r="H724" t="str">
        <f t="shared" si="11"/>
        <v>029C003363.00</v>
      </c>
    </row>
    <row r="725" spans="1:8" x14ac:dyDescent="0.25">
      <c r="A725">
        <v>365</v>
      </c>
      <c r="B725" t="s">
        <v>464</v>
      </c>
      <c r="C725" t="s">
        <v>463</v>
      </c>
      <c r="D725" t="s">
        <v>923</v>
      </c>
      <c r="E725" t="s">
        <v>980</v>
      </c>
      <c r="F725" t="s">
        <v>981</v>
      </c>
      <c r="G725" t="s">
        <v>452</v>
      </c>
      <c r="H725" t="str">
        <f t="shared" si="11"/>
        <v>029C003363.01</v>
      </c>
    </row>
    <row r="726" spans="1:8" x14ac:dyDescent="0.25">
      <c r="A726">
        <v>366</v>
      </c>
      <c r="B726" t="s">
        <v>539</v>
      </c>
      <c r="C726" t="s">
        <v>538</v>
      </c>
      <c r="D726" t="s">
        <v>923</v>
      </c>
      <c r="E726" t="s">
        <v>983</v>
      </c>
      <c r="F726" t="s">
        <v>984</v>
      </c>
      <c r="G726" t="s">
        <v>533</v>
      </c>
      <c r="H726" t="str">
        <f t="shared" si="11"/>
        <v>029C003982.00</v>
      </c>
    </row>
    <row r="727" spans="1:8" x14ac:dyDescent="0.25">
      <c r="A727">
        <v>366</v>
      </c>
      <c r="B727" t="s">
        <v>539</v>
      </c>
      <c r="C727" t="s">
        <v>538</v>
      </c>
      <c r="D727" t="s">
        <v>923</v>
      </c>
      <c r="E727" t="s">
        <v>983</v>
      </c>
      <c r="F727" t="s">
        <v>984</v>
      </c>
      <c r="G727" t="s">
        <v>533</v>
      </c>
      <c r="H727" t="str">
        <f t="shared" si="11"/>
        <v>029C003982.01</v>
      </c>
    </row>
    <row r="728" spans="1:8" x14ac:dyDescent="0.25">
      <c r="A728">
        <v>367</v>
      </c>
      <c r="B728" t="s">
        <v>542</v>
      </c>
      <c r="C728" t="s">
        <v>541</v>
      </c>
      <c r="D728" t="s">
        <v>923</v>
      </c>
      <c r="E728" t="s">
        <v>983</v>
      </c>
      <c r="F728" t="s">
        <v>984</v>
      </c>
      <c r="G728" t="s">
        <v>540</v>
      </c>
      <c r="H728" t="str">
        <f t="shared" si="11"/>
        <v>029C004030.00</v>
      </c>
    </row>
    <row r="729" spans="1:8" x14ac:dyDescent="0.25">
      <c r="A729">
        <v>367</v>
      </c>
      <c r="B729" t="s">
        <v>542</v>
      </c>
      <c r="C729" t="s">
        <v>541</v>
      </c>
      <c r="D729" t="s">
        <v>923</v>
      </c>
      <c r="E729" t="s">
        <v>983</v>
      </c>
      <c r="F729" t="s">
        <v>984</v>
      </c>
      <c r="G729" t="s">
        <v>540</v>
      </c>
      <c r="H729" t="str">
        <f t="shared" si="11"/>
        <v>029C004030.01</v>
      </c>
    </row>
    <row r="730" spans="1:8" x14ac:dyDescent="0.25">
      <c r="A730">
        <v>368</v>
      </c>
      <c r="B730" t="s">
        <v>545</v>
      </c>
      <c r="C730" t="s">
        <v>544</v>
      </c>
      <c r="D730" t="s">
        <v>923</v>
      </c>
      <c r="E730" t="s">
        <v>983</v>
      </c>
      <c r="F730" t="s">
        <v>984</v>
      </c>
      <c r="G730" t="s">
        <v>543</v>
      </c>
      <c r="H730" t="str">
        <f t="shared" si="11"/>
        <v>029C003994.00</v>
      </c>
    </row>
    <row r="731" spans="1:8" x14ac:dyDescent="0.25">
      <c r="A731">
        <v>368</v>
      </c>
      <c r="B731" t="s">
        <v>545</v>
      </c>
      <c r="C731" t="s">
        <v>544</v>
      </c>
      <c r="D731" t="s">
        <v>923</v>
      </c>
      <c r="E731" t="s">
        <v>983</v>
      </c>
      <c r="F731" t="s">
        <v>984</v>
      </c>
      <c r="G731" t="s">
        <v>543</v>
      </c>
      <c r="H731" t="str">
        <f t="shared" si="11"/>
        <v>029C003994.01</v>
      </c>
    </row>
    <row r="732" spans="1:8" x14ac:dyDescent="0.25">
      <c r="A732">
        <v>369</v>
      </c>
      <c r="B732" t="s">
        <v>816</v>
      </c>
      <c r="C732" t="s">
        <v>815</v>
      </c>
      <c r="D732" t="s">
        <v>923</v>
      </c>
      <c r="E732" t="s">
        <v>986</v>
      </c>
      <c r="F732" t="s">
        <v>987</v>
      </c>
      <c r="G732" t="s">
        <v>224</v>
      </c>
      <c r="H732" t="str">
        <f t="shared" si="11"/>
        <v>029C008326.00</v>
      </c>
    </row>
    <row r="733" spans="1:8" x14ac:dyDescent="0.25">
      <c r="A733">
        <v>369</v>
      </c>
      <c r="B733" t="s">
        <v>816</v>
      </c>
      <c r="C733" t="s">
        <v>815</v>
      </c>
      <c r="D733" t="s">
        <v>923</v>
      </c>
      <c r="E733" t="s">
        <v>986</v>
      </c>
      <c r="F733" t="s">
        <v>987</v>
      </c>
      <c r="G733" t="s">
        <v>224</v>
      </c>
      <c r="H733" t="str">
        <f t="shared" si="11"/>
        <v>029C008326.01</v>
      </c>
    </row>
    <row r="734" spans="1:8" x14ac:dyDescent="0.25">
      <c r="A734">
        <v>370</v>
      </c>
      <c r="B734" t="s">
        <v>814</v>
      </c>
      <c r="C734" t="s">
        <v>813</v>
      </c>
      <c r="D734" t="s">
        <v>923</v>
      </c>
      <c r="E734" t="s">
        <v>986</v>
      </c>
      <c r="F734" t="s">
        <v>987</v>
      </c>
      <c r="G734" t="s">
        <v>540</v>
      </c>
      <c r="H734" t="str">
        <f t="shared" si="11"/>
        <v>029C004290.00</v>
      </c>
    </row>
    <row r="735" spans="1:8" x14ac:dyDescent="0.25">
      <c r="A735">
        <v>370</v>
      </c>
      <c r="B735" t="s">
        <v>814</v>
      </c>
      <c r="C735" t="s">
        <v>813</v>
      </c>
      <c r="D735" t="s">
        <v>923</v>
      </c>
      <c r="E735" t="s">
        <v>986</v>
      </c>
      <c r="F735" t="s">
        <v>987</v>
      </c>
      <c r="G735" t="s">
        <v>540</v>
      </c>
      <c r="H735" t="str">
        <f t="shared" si="11"/>
        <v>029C004290.01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57199-7744-4A22-AB56-D5232A3654EC}">
  <dimension ref="A1:G52"/>
  <sheetViews>
    <sheetView workbookViewId="0">
      <selection activeCell="D28" sqref="D28:E28"/>
    </sheetView>
  </sheetViews>
  <sheetFormatPr defaultRowHeight="15" x14ac:dyDescent="0.25"/>
  <cols>
    <col min="1" max="1" width="6.42578125" bestFit="1" customWidth="1"/>
    <col min="2" max="2" width="65.28515625" bestFit="1" customWidth="1"/>
    <col min="3" max="3" width="17.140625" bestFit="1" customWidth="1"/>
    <col min="4" max="4" width="9.5703125" bestFit="1" customWidth="1"/>
    <col min="5" max="5" width="11.7109375" bestFit="1" customWidth="1"/>
    <col min="6" max="6" width="18.42578125" bestFit="1" customWidth="1"/>
    <col min="7" max="7" width="8.85546875" bestFit="1" customWidth="1"/>
  </cols>
  <sheetData>
    <row r="1" spans="1:7" x14ac:dyDescent="0.25">
      <c r="A1" t="s">
        <v>614</v>
      </c>
      <c r="B1" t="s">
        <v>918</v>
      </c>
      <c r="C1" t="s">
        <v>919</v>
      </c>
      <c r="D1" t="s">
        <v>993</v>
      </c>
      <c r="E1" t="s">
        <v>994</v>
      </c>
      <c r="F1" t="s">
        <v>921</v>
      </c>
      <c r="G1" t="s">
        <v>920</v>
      </c>
    </row>
    <row r="2" spans="1:7" x14ac:dyDescent="0.25">
      <c r="A2">
        <v>1</v>
      </c>
      <c r="B2" t="s">
        <v>922</v>
      </c>
      <c r="C2" t="s">
        <v>372</v>
      </c>
      <c r="D2" t="s">
        <v>923</v>
      </c>
      <c r="E2" t="s">
        <v>925</v>
      </c>
      <c r="F2" t="s">
        <v>926</v>
      </c>
      <c r="G2" t="s">
        <v>924</v>
      </c>
    </row>
    <row r="3" spans="1:7" x14ac:dyDescent="0.25">
      <c r="A3">
        <v>2</v>
      </c>
      <c r="B3" t="s">
        <v>537</v>
      </c>
      <c r="C3" t="s">
        <v>536</v>
      </c>
      <c r="D3" t="s">
        <v>923</v>
      </c>
      <c r="E3" t="s">
        <v>925</v>
      </c>
      <c r="F3" t="s">
        <v>926</v>
      </c>
      <c r="G3" t="s">
        <v>924</v>
      </c>
    </row>
    <row r="4" spans="1:7" x14ac:dyDescent="0.25">
      <c r="A4">
        <v>3</v>
      </c>
      <c r="B4" t="s">
        <v>927</v>
      </c>
      <c r="C4" t="s">
        <v>513</v>
      </c>
      <c r="D4" t="s">
        <v>923</v>
      </c>
      <c r="E4" t="s">
        <v>925</v>
      </c>
      <c r="F4" t="s">
        <v>926</v>
      </c>
      <c r="G4" t="s">
        <v>924</v>
      </c>
    </row>
    <row r="5" spans="1:7" x14ac:dyDescent="0.25">
      <c r="A5">
        <v>4</v>
      </c>
      <c r="B5" t="s">
        <v>535</v>
      </c>
      <c r="C5" t="s">
        <v>534</v>
      </c>
      <c r="D5" t="s">
        <v>923</v>
      </c>
      <c r="E5" t="s">
        <v>929</v>
      </c>
      <c r="F5" t="s">
        <v>930</v>
      </c>
      <c r="G5" t="s">
        <v>928</v>
      </c>
    </row>
    <row r="6" spans="1:7" x14ac:dyDescent="0.25">
      <c r="A6">
        <v>5</v>
      </c>
      <c r="B6" t="s">
        <v>509</v>
      </c>
      <c r="C6" t="s">
        <v>508</v>
      </c>
      <c r="D6" t="s">
        <v>923</v>
      </c>
      <c r="E6" t="s">
        <v>931</v>
      </c>
      <c r="F6" t="s">
        <v>930</v>
      </c>
      <c r="G6" t="s">
        <v>928</v>
      </c>
    </row>
    <row r="7" spans="1:7" x14ac:dyDescent="0.25">
      <c r="A7">
        <v>6</v>
      </c>
      <c r="B7" t="s">
        <v>491</v>
      </c>
      <c r="C7" t="s">
        <v>490</v>
      </c>
      <c r="D7" t="s">
        <v>923</v>
      </c>
      <c r="E7" t="s">
        <v>932</v>
      </c>
      <c r="F7" t="s">
        <v>930</v>
      </c>
      <c r="G7" t="s">
        <v>928</v>
      </c>
    </row>
    <row r="8" spans="1:7" x14ac:dyDescent="0.25">
      <c r="A8">
        <v>7</v>
      </c>
      <c r="B8" t="s">
        <v>493</v>
      </c>
      <c r="C8" t="s">
        <v>492</v>
      </c>
      <c r="D8" t="s">
        <v>923</v>
      </c>
      <c r="E8" t="s">
        <v>933</v>
      </c>
      <c r="F8" t="s">
        <v>930</v>
      </c>
      <c r="G8" t="s">
        <v>928</v>
      </c>
    </row>
    <row r="9" spans="1:7" x14ac:dyDescent="0.25">
      <c r="A9">
        <v>8</v>
      </c>
      <c r="B9" t="s">
        <v>363</v>
      </c>
      <c r="C9" t="s">
        <v>362</v>
      </c>
      <c r="D9" t="s">
        <v>923</v>
      </c>
      <c r="E9" t="s">
        <v>934</v>
      </c>
      <c r="F9" t="s">
        <v>930</v>
      </c>
      <c r="G9" t="s">
        <v>928</v>
      </c>
    </row>
    <row r="10" spans="1:7" x14ac:dyDescent="0.25">
      <c r="A10">
        <v>9</v>
      </c>
      <c r="B10" t="s">
        <v>264</v>
      </c>
      <c r="C10" t="s">
        <v>263</v>
      </c>
      <c r="D10" t="s">
        <v>923</v>
      </c>
      <c r="E10" t="s">
        <v>936</v>
      </c>
      <c r="F10" t="s">
        <v>937</v>
      </c>
      <c r="G10" t="s">
        <v>935</v>
      </c>
    </row>
    <row r="11" spans="1:7" x14ac:dyDescent="0.25">
      <c r="A11">
        <v>10</v>
      </c>
      <c r="B11" t="s">
        <v>266</v>
      </c>
      <c r="C11" t="s">
        <v>265</v>
      </c>
      <c r="D11" t="s">
        <v>923</v>
      </c>
      <c r="E11" t="s">
        <v>938</v>
      </c>
      <c r="F11" t="s">
        <v>937</v>
      </c>
      <c r="G11" t="s">
        <v>935</v>
      </c>
    </row>
    <row r="12" spans="1:7" x14ac:dyDescent="0.25">
      <c r="A12">
        <v>11</v>
      </c>
      <c r="B12" t="s">
        <v>104</v>
      </c>
      <c r="C12" t="s">
        <v>103</v>
      </c>
      <c r="D12" t="s">
        <v>923</v>
      </c>
      <c r="E12" t="s">
        <v>939</v>
      </c>
      <c r="F12" t="s">
        <v>937</v>
      </c>
      <c r="G12" t="s">
        <v>935</v>
      </c>
    </row>
    <row r="13" spans="1:7" x14ac:dyDescent="0.25">
      <c r="A13">
        <v>12</v>
      </c>
      <c r="B13" t="s">
        <v>940</v>
      </c>
      <c r="C13" t="s">
        <v>166</v>
      </c>
      <c r="D13" t="s">
        <v>923</v>
      </c>
      <c r="E13" t="s">
        <v>941</v>
      </c>
      <c r="F13" t="s">
        <v>937</v>
      </c>
      <c r="G13" t="s">
        <v>935</v>
      </c>
    </row>
    <row r="14" spans="1:7" x14ac:dyDescent="0.25">
      <c r="A14">
        <v>13</v>
      </c>
      <c r="B14" t="s">
        <v>942</v>
      </c>
      <c r="C14" t="s">
        <v>364</v>
      </c>
      <c r="D14" t="s">
        <v>923</v>
      </c>
      <c r="E14" t="s">
        <v>943</v>
      </c>
      <c r="F14" t="s">
        <v>937</v>
      </c>
      <c r="G14" t="s">
        <v>935</v>
      </c>
    </row>
    <row r="15" spans="1:7" x14ac:dyDescent="0.25">
      <c r="A15">
        <v>14</v>
      </c>
      <c r="B15" t="s">
        <v>470</v>
      </c>
      <c r="C15" t="s">
        <v>121</v>
      </c>
      <c r="D15" t="s">
        <v>923</v>
      </c>
      <c r="E15" t="s">
        <v>945</v>
      </c>
      <c r="F15" t="s">
        <v>946</v>
      </c>
      <c r="G15" t="s">
        <v>944</v>
      </c>
    </row>
    <row r="16" spans="1:7" x14ac:dyDescent="0.25">
      <c r="A16">
        <v>15</v>
      </c>
      <c r="B16" t="s">
        <v>497</v>
      </c>
      <c r="C16" t="s">
        <v>496</v>
      </c>
      <c r="D16" t="s">
        <v>923</v>
      </c>
      <c r="E16" t="s">
        <v>945</v>
      </c>
      <c r="F16" t="s">
        <v>946</v>
      </c>
      <c r="G16" t="s">
        <v>944</v>
      </c>
    </row>
    <row r="17" spans="1:7" x14ac:dyDescent="0.25">
      <c r="A17">
        <v>16</v>
      </c>
      <c r="B17" t="s">
        <v>473</v>
      </c>
      <c r="C17" t="s">
        <v>472</v>
      </c>
      <c r="D17" t="s">
        <v>923</v>
      </c>
      <c r="E17" t="s">
        <v>947</v>
      </c>
      <c r="F17" t="s">
        <v>948</v>
      </c>
      <c r="G17" t="s">
        <v>944</v>
      </c>
    </row>
    <row r="18" spans="1:7" x14ac:dyDescent="0.25">
      <c r="A18">
        <v>17</v>
      </c>
      <c r="B18" t="s">
        <v>120</v>
      </c>
      <c r="C18" t="s">
        <v>119</v>
      </c>
      <c r="D18" t="s">
        <v>923</v>
      </c>
      <c r="E18" t="s">
        <v>949</v>
      </c>
      <c r="F18" t="s">
        <v>950</v>
      </c>
      <c r="G18" t="s">
        <v>944</v>
      </c>
    </row>
    <row r="19" spans="1:7" x14ac:dyDescent="0.25">
      <c r="A19">
        <v>18</v>
      </c>
      <c r="B19" t="s">
        <v>420</v>
      </c>
      <c r="C19" t="s">
        <v>419</v>
      </c>
      <c r="D19" t="s">
        <v>923</v>
      </c>
      <c r="E19" t="s">
        <v>951</v>
      </c>
      <c r="F19" t="s">
        <v>950</v>
      </c>
      <c r="G19" t="s">
        <v>944</v>
      </c>
    </row>
    <row r="20" spans="1:7" x14ac:dyDescent="0.25">
      <c r="A20">
        <v>19</v>
      </c>
      <c r="B20" t="s">
        <v>547</v>
      </c>
      <c r="C20" t="s">
        <v>546</v>
      </c>
      <c r="D20" t="s">
        <v>923</v>
      </c>
      <c r="E20" t="s">
        <v>952</v>
      </c>
      <c r="F20" t="s">
        <v>950</v>
      </c>
      <c r="G20" t="s">
        <v>944</v>
      </c>
    </row>
    <row r="21" spans="1:7" x14ac:dyDescent="0.25">
      <c r="A21">
        <v>20</v>
      </c>
      <c r="B21" t="s">
        <v>468</v>
      </c>
      <c r="C21" t="s">
        <v>467</v>
      </c>
      <c r="D21" t="s">
        <v>923</v>
      </c>
      <c r="E21" t="s">
        <v>953</v>
      </c>
      <c r="F21" t="s">
        <v>950</v>
      </c>
      <c r="G21" t="s">
        <v>944</v>
      </c>
    </row>
    <row r="22" spans="1:7" x14ac:dyDescent="0.25">
      <c r="A22">
        <v>21</v>
      </c>
      <c r="B22" t="s">
        <v>122</v>
      </c>
      <c r="C22" t="s">
        <v>121</v>
      </c>
      <c r="D22" t="s">
        <v>923</v>
      </c>
      <c r="E22" t="s">
        <v>954</v>
      </c>
      <c r="F22" t="s">
        <v>950</v>
      </c>
      <c r="G22" t="s">
        <v>944</v>
      </c>
    </row>
    <row r="23" spans="1:7" x14ac:dyDescent="0.25">
      <c r="A23">
        <v>22</v>
      </c>
      <c r="B23" t="s">
        <v>371</v>
      </c>
      <c r="C23" t="s">
        <v>370</v>
      </c>
      <c r="D23" t="s">
        <v>923</v>
      </c>
      <c r="E23" t="s">
        <v>956</v>
      </c>
      <c r="F23" t="s">
        <v>957</v>
      </c>
      <c r="G23" t="s">
        <v>955</v>
      </c>
    </row>
    <row r="24" spans="1:7" x14ac:dyDescent="0.25">
      <c r="A24">
        <v>23</v>
      </c>
      <c r="B24" t="s">
        <v>495</v>
      </c>
      <c r="C24" t="s">
        <v>494</v>
      </c>
      <c r="D24" t="s">
        <v>923</v>
      </c>
      <c r="E24" t="s">
        <v>956</v>
      </c>
      <c r="F24" t="s">
        <v>957</v>
      </c>
      <c r="G24" t="s">
        <v>955</v>
      </c>
    </row>
    <row r="25" spans="1:7" x14ac:dyDescent="0.25">
      <c r="A25">
        <v>24</v>
      </c>
      <c r="B25" t="s">
        <v>80</v>
      </c>
      <c r="C25" t="s">
        <v>79</v>
      </c>
      <c r="D25" t="s">
        <v>923</v>
      </c>
      <c r="E25" t="s">
        <v>959</v>
      </c>
      <c r="F25" t="s">
        <v>960</v>
      </c>
      <c r="G25" t="s">
        <v>958</v>
      </c>
    </row>
    <row r="26" spans="1:7" x14ac:dyDescent="0.25">
      <c r="A26">
        <v>25</v>
      </c>
      <c r="B26" t="s">
        <v>223</v>
      </c>
      <c r="C26" t="s">
        <v>222</v>
      </c>
      <c r="D26" t="s">
        <v>923</v>
      </c>
      <c r="E26" t="s">
        <v>959</v>
      </c>
      <c r="F26" t="s">
        <v>960</v>
      </c>
      <c r="G26" t="s">
        <v>958</v>
      </c>
    </row>
    <row r="27" spans="1:7" x14ac:dyDescent="0.25">
      <c r="A27">
        <v>26</v>
      </c>
      <c r="B27" t="s">
        <v>466</v>
      </c>
      <c r="C27" t="s">
        <v>465</v>
      </c>
      <c r="D27" t="s">
        <v>923</v>
      </c>
      <c r="E27" t="s">
        <v>959</v>
      </c>
      <c r="F27" t="s">
        <v>960</v>
      </c>
      <c r="G27" t="s">
        <v>958</v>
      </c>
    </row>
    <row r="28" spans="1:7" x14ac:dyDescent="0.25">
      <c r="A28">
        <v>27</v>
      </c>
      <c r="B28" t="s">
        <v>11</v>
      </c>
      <c r="C28" t="s">
        <v>10</v>
      </c>
      <c r="D28" t="s">
        <v>923</v>
      </c>
      <c r="E28" t="s">
        <v>959</v>
      </c>
      <c r="F28" t="s">
        <v>960</v>
      </c>
      <c r="G28" t="s">
        <v>958</v>
      </c>
    </row>
    <row r="29" spans="1:7" x14ac:dyDescent="0.25">
      <c r="A29">
        <v>28</v>
      </c>
      <c r="B29" t="s">
        <v>499</v>
      </c>
      <c r="C29" t="s">
        <v>498</v>
      </c>
      <c r="D29" t="s">
        <v>923</v>
      </c>
      <c r="E29" t="s">
        <v>962</v>
      </c>
      <c r="F29" t="s">
        <v>963</v>
      </c>
      <c r="G29" t="s">
        <v>961</v>
      </c>
    </row>
    <row r="30" spans="1:7" x14ac:dyDescent="0.25">
      <c r="A30">
        <v>29</v>
      </c>
      <c r="B30" t="s">
        <v>486</v>
      </c>
      <c r="C30" t="s">
        <v>485</v>
      </c>
      <c r="D30" t="s">
        <v>923</v>
      </c>
      <c r="G30" t="s">
        <v>961</v>
      </c>
    </row>
    <row r="31" spans="1:7" x14ac:dyDescent="0.25">
      <c r="A31">
        <v>30</v>
      </c>
      <c r="B31" t="s">
        <v>550</v>
      </c>
      <c r="C31" t="s">
        <v>549</v>
      </c>
      <c r="D31" t="s">
        <v>923</v>
      </c>
      <c r="G31" t="s">
        <v>961</v>
      </c>
    </row>
    <row r="32" spans="1:7" x14ac:dyDescent="0.25">
      <c r="A32">
        <v>31</v>
      </c>
      <c r="B32" t="s">
        <v>518</v>
      </c>
      <c r="C32" t="s">
        <v>517</v>
      </c>
      <c r="D32" t="s">
        <v>923</v>
      </c>
      <c r="E32" t="s">
        <v>962</v>
      </c>
      <c r="F32" t="s">
        <v>963</v>
      </c>
      <c r="G32" t="s">
        <v>961</v>
      </c>
    </row>
    <row r="33" spans="1:7" x14ac:dyDescent="0.25">
      <c r="A33">
        <v>32</v>
      </c>
      <c r="B33" t="s">
        <v>62</v>
      </c>
      <c r="C33" t="s">
        <v>61</v>
      </c>
      <c r="D33" t="s">
        <v>923</v>
      </c>
      <c r="E33" t="s">
        <v>962</v>
      </c>
      <c r="F33" t="s">
        <v>963</v>
      </c>
      <c r="G33" t="s">
        <v>961</v>
      </c>
    </row>
    <row r="34" spans="1:7" x14ac:dyDescent="0.25">
      <c r="A34">
        <v>33</v>
      </c>
      <c r="B34" t="s">
        <v>516</v>
      </c>
      <c r="C34" t="s">
        <v>515</v>
      </c>
      <c r="D34" t="s">
        <v>923</v>
      </c>
      <c r="E34" t="s">
        <v>962</v>
      </c>
      <c r="F34" t="s">
        <v>963</v>
      </c>
      <c r="G34" t="s">
        <v>961</v>
      </c>
    </row>
    <row r="35" spans="1:7" x14ac:dyDescent="0.25">
      <c r="A35">
        <v>34</v>
      </c>
      <c r="B35" t="s">
        <v>221</v>
      </c>
      <c r="C35" t="s">
        <v>220</v>
      </c>
      <c r="D35" t="s">
        <v>923</v>
      </c>
      <c r="E35" t="s">
        <v>962</v>
      </c>
      <c r="F35" t="s">
        <v>963</v>
      </c>
      <c r="G35" t="s">
        <v>961</v>
      </c>
    </row>
    <row r="36" spans="1:7" x14ac:dyDescent="0.25">
      <c r="A36">
        <v>35</v>
      </c>
      <c r="B36" t="s">
        <v>60</v>
      </c>
      <c r="C36" t="s">
        <v>59</v>
      </c>
      <c r="D36" t="s">
        <v>923</v>
      </c>
      <c r="E36" t="s">
        <v>965</v>
      </c>
      <c r="F36" t="s">
        <v>966</v>
      </c>
      <c r="G36" t="s">
        <v>964</v>
      </c>
    </row>
    <row r="37" spans="1:7" x14ac:dyDescent="0.25">
      <c r="A37">
        <v>36</v>
      </c>
      <c r="B37" t="s">
        <v>224</v>
      </c>
      <c r="C37" t="s">
        <v>269</v>
      </c>
      <c r="D37" t="s">
        <v>923</v>
      </c>
      <c r="E37" t="s">
        <v>965</v>
      </c>
      <c r="F37" t="s">
        <v>966</v>
      </c>
      <c r="G37" t="s">
        <v>964</v>
      </c>
    </row>
    <row r="38" spans="1:7" x14ac:dyDescent="0.25">
      <c r="A38">
        <v>37</v>
      </c>
      <c r="B38" t="s">
        <v>510</v>
      </c>
      <c r="C38" t="s">
        <v>0</v>
      </c>
      <c r="D38" t="s">
        <v>923</v>
      </c>
      <c r="E38" t="s">
        <v>968</v>
      </c>
      <c r="F38" t="s">
        <v>969</v>
      </c>
      <c r="G38" t="s">
        <v>967</v>
      </c>
    </row>
    <row r="39" spans="1:7" x14ac:dyDescent="0.25">
      <c r="A39">
        <v>38</v>
      </c>
      <c r="B39" t="s">
        <v>351</v>
      </c>
      <c r="C39" t="s">
        <v>350</v>
      </c>
      <c r="D39" t="s">
        <v>923</v>
      </c>
      <c r="E39" t="s">
        <v>970</v>
      </c>
      <c r="F39" t="s">
        <v>971</v>
      </c>
      <c r="G39" t="s">
        <v>967</v>
      </c>
    </row>
    <row r="40" spans="1:7" x14ac:dyDescent="0.25">
      <c r="A40">
        <v>39</v>
      </c>
      <c r="B40" t="s">
        <v>151</v>
      </c>
      <c r="C40" t="s">
        <v>150</v>
      </c>
      <c r="D40" t="s">
        <v>923</v>
      </c>
      <c r="E40" t="s">
        <v>973</v>
      </c>
      <c r="F40" t="s">
        <v>974</v>
      </c>
      <c r="G40" t="s">
        <v>972</v>
      </c>
    </row>
    <row r="41" spans="1:7" x14ac:dyDescent="0.25">
      <c r="A41">
        <v>40</v>
      </c>
      <c r="B41" t="s">
        <v>149</v>
      </c>
      <c r="C41" t="s">
        <v>148</v>
      </c>
      <c r="D41" t="s">
        <v>923</v>
      </c>
      <c r="E41" t="s">
        <v>973</v>
      </c>
      <c r="F41" t="s">
        <v>974</v>
      </c>
      <c r="G41" t="s">
        <v>972</v>
      </c>
    </row>
    <row r="42" spans="1:7" x14ac:dyDescent="0.25">
      <c r="A42">
        <v>41</v>
      </c>
      <c r="B42" t="s">
        <v>164</v>
      </c>
      <c r="C42" t="s">
        <v>163</v>
      </c>
      <c r="D42" t="s">
        <v>923</v>
      </c>
      <c r="E42" t="s">
        <v>975</v>
      </c>
      <c r="F42" t="s">
        <v>976</v>
      </c>
      <c r="G42" t="s">
        <v>972</v>
      </c>
    </row>
    <row r="43" spans="1:7" x14ac:dyDescent="0.25">
      <c r="A43">
        <v>42</v>
      </c>
      <c r="B43" t="s">
        <v>456</v>
      </c>
      <c r="C43" t="s">
        <v>455</v>
      </c>
      <c r="D43" t="s">
        <v>923</v>
      </c>
      <c r="E43" t="s">
        <v>978</v>
      </c>
      <c r="F43" t="s">
        <v>979</v>
      </c>
      <c r="G43" t="s">
        <v>977</v>
      </c>
    </row>
    <row r="44" spans="1:7" x14ac:dyDescent="0.25">
      <c r="A44">
        <v>43</v>
      </c>
      <c r="B44" t="s">
        <v>458</v>
      </c>
      <c r="C44" t="s">
        <v>457</v>
      </c>
      <c r="D44" t="s">
        <v>923</v>
      </c>
      <c r="E44" t="s">
        <v>978</v>
      </c>
      <c r="F44" t="s">
        <v>979</v>
      </c>
      <c r="G44" t="s">
        <v>977</v>
      </c>
    </row>
    <row r="45" spans="1:7" x14ac:dyDescent="0.25">
      <c r="A45">
        <v>44</v>
      </c>
      <c r="B45" t="s">
        <v>460</v>
      </c>
      <c r="C45" t="s">
        <v>459</v>
      </c>
      <c r="D45" t="s">
        <v>923</v>
      </c>
      <c r="E45" t="s">
        <v>978</v>
      </c>
      <c r="F45" t="s">
        <v>979</v>
      </c>
      <c r="G45" t="s">
        <v>977</v>
      </c>
    </row>
    <row r="46" spans="1:7" x14ac:dyDescent="0.25">
      <c r="A46">
        <v>45</v>
      </c>
      <c r="B46" t="s">
        <v>462</v>
      </c>
      <c r="C46" t="s">
        <v>461</v>
      </c>
      <c r="D46" t="s">
        <v>923</v>
      </c>
      <c r="E46" t="s">
        <v>978</v>
      </c>
      <c r="F46" t="s">
        <v>979</v>
      </c>
      <c r="G46" t="s">
        <v>977</v>
      </c>
    </row>
    <row r="47" spans="1:7" x14ac:dyDescent="0.25">
      <c r="A47">
        <v>46</v>
      </c>
      <c r="B47" t="s">
        <v>464</v>
      </c>
      <c r="C47" t="s">
        <v>463</v>
      </c>
      <c r="D47" t="s">
        <v>923</v>
      </c>
      <c r="E47" t="s">
        <v>980</v>
      </c>
      <c r="F47" t="s">
        <v>981</v>
      </c>
      <c r="G47" t="s">
        <v>977</v>
      </c>
    </row>
    <row r="48" spans="1:7" x14ac:dyDescent="0.25">
      <c r="A48">
        <v>47</v>
      </c>
      <c r="B48" t="s">
        <v>539</v>
      </c>
      <c r="C48" t="s">
        <v>538</v>
      </c>
      <c r="D48" t="s">
        <v>923</v>
      </c>
      <c r="E48" t="s">
        <v>983</v>
      </c>
      <c r="F48" t="s">
        <v>984</v>
      </c>
      <c r="G48" t="s">
        <v>982</v>
      </c>
    </row>
    <row r="49" spans="1:7" x14ac:dyDescent="0.25">
      <c r="A49">
        <v>48</v>
      </c>
      <c r="B49" t="s">
        <v>542</v>
      </c>
      <c r="C49" t="s">
        <v>541</v>
      </c>
      <c r="D49" t="s">
        <v>923</v>
      </c>
      <c r="E49" t="s">
        <v>983</v>
      </c>
      <c r="F49" t="s">
        <v>984</v>
      </c>
      <c r="G49" t="s">
        <v>982</v>
      </c>
    </row>
    <row r="50" spans="1:7" x14ac:dyDescent="0.25">
      <c r="A50">
        <v>49</v>
      </c>
      <c r="B50" t="s">
        <v>545</v>
      </c>
      <c r="C50" t="s">
        <v>544</v>
      </c>
      <c r="D50" t="s">
        <v>923</v>
      </c>
      <c r="E50" t="s">
        <v>983</v>
      </c>
      <c r="F50" t="s">
        <v>984</v>
      </c>
      <c r="G50" t="s">
        <v>982</v>
      </c>
    </row>
    <row r="51" spans="1:7" x14ac:dyDescent="0.25">
      <c r="A51">
        <v>50</v>
      </c>
      <c r="B51" t="s">
        <v>816</v>
      </c>
      <c r="C51" t="s">
        <v>815</v>
      </c>
      <c r="D51" t="s">
        <v>923</v>
      </c>
      <c r="E51" t="s">
        <v>986</v>
      </c>
      <c r="F51" t="s">
        <v>987</v>
      </c>
      <c r="G51" t="s">
        <v>985</v>
      </c>
    </row>
    <row r="52" spans="1:7" x14ac:dyDescent="0.25">
      <c r="A52">
        <v>51</v>
      </c>
      <c r="B52" t="s">
        <v>814</v>
      </c>
      <c r="C52" t="s">
        <v>813</v>
      </c>
      <c r="D52" t="s">
        <v>923</v>
      </c>
      <c r="E52" t="s">
        <v>986</v>
      </c>
      <c r="F52" t="s">
        <v>987</v>
      </c>
      <c r="G52" t="s">
        <v>985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BF0D7-143A-499B-AF69-18C527F67AD9}">
  <dimension ref="A1:F317"/>
  <sheetViews>
    <sheetView workbookViewId="0">
      <selection sqref="A1:F317"/>
    </sheetView>
  </sheetViews>
  <sheetFormatPr defaultRowHeight="15" x14ac:dyDescent="0.25"/>
  <cols>
    <col min="1" max="1" width="6.42578125" bestFit="1" customWidth="1"/>
    <col min="2" max="2" width="77.42578125" bestFit="1" customWidth="1"/>
    <col min="3" max="3" width="17.140625" bestFit="1" customWidth="1"/>
    <col min="4" max="4" width="9.5703125" bestFit="1" customWidth="1"/>
    <col min="5" max="5" width="11.7109375" bestFit="1" customWidth="1"/>
    <col min="6" max="6" width="18.42578125" bestFit="1" customWidth="1"/>
  </cols>
  <sheetData>
    <row r="1" spans="1:6" x14ac:dyDescent="0.25">
      <c r="A1" t="s">
        <v>614</v>
      </c>
      <c r="B1" t="s">
        <v>918</v>
      </c>
      <c r="C1" t="s">
        <v>919</v>
      </c>
      <c r="D1" t="s">
        <v>993</v>
      </c>
      <c r="E1" t="s">
        <v>994</v>
      </c>
      <c r="F1" t="s">
        <v>921</v>
      </c>
    </row>
    <row r="2" spans="1:6" x14ac:dyDescent="0.25">
      <c r="A2">
        <v>1</v>
      </c>
      <c r="B2" t="s">
        <v>712</v>
      </c>
      <c r="C2" t="s">
        <v>711</v>
      </c>
      <c r="D2" t="s">
        <v>988</v>
      </c>
      <c r="E2" t="s">
        <v>989</v>
      </c>
      <c r="F2" t="s">
        <v>990</v>
      </c>
    </row>
    <row r="3" spans="1:6" x14ac:dyDescent="0.25">
      <c r="A3">
        <v>2</v>
      </c>
      <c r="B3" t="s">
        <v>9</v>
      </c>
      <c r="C3" t="s">
        <v>8</v>
      </c>
      <c r="D3" t="s">
        <v>988</v>
      </c>
      <c r="E3" t="s">
        <v>989</v>
      </c>
      <c r="F3" t="s">
        <v>990</v>
      </c>
    </row>
    <row r="4" spans="1:6" x14ac:dyDescent="0.25">
      <c r="A4">
        <v>3</v>
      </c>
      <c r="B4" t="s">
        <v>201</v>
      </c>
      <c r="C4" t="s">
        <v>200</v>
      </c>
      <c r="D4" t="s">
        <v>988</v>
      </c>
      <c r="E4" t="s">
        <v>989</v>
      </c>
      <c r="F4" t="s">
        <v>990</v>
      </c>
    </row>
    <row r="5" spans="1:6" x14ac:dyDescent="0.25">
      <c r="A5">
        <v>4</v>
      </c>
      <c r="B5" t="s">
        <v>889</v>
      </c>
      <c r="C5" t="s">
        <v>888</v>
      </c>
      <c r="D5" t="s">
        <v>988</v>
      </c>
      <c r="E5" t="s">
        <v>989</v>
      </c>
      <c r="F5" t="s">
        <v>990</v>
      </c>
    </row>
    <row r="6" spans="1:6" x14ac:dyDescent="0.25">
      <c r="A6">
        <v>5</v>
      </c>
      <c r="B6" t="s">
        <v>7</v>
      </c>
      <c r="C6" t="s">
        <v>6</v>
      </c>
      <c r="D6" t="s">
        <v>988</v>
      </c>
      <c r="E6" t="s">
        <v>989</v>
      </c>
      <c r="F6" t="s">
        <v>990</v>
      </c>
    </row>
    <row r="7" spans="1:6" x14ac:dyDescent="0.25">
      <c r="A7">
        <v>6</v>
      </c>
      <c r="B7" t="s">
        <v>226</v>
      </c>
      <c r="C7" t="s">
        <v>225</v>
      </c>
      <c r="D7" t="s">
        <v>988</v>
      </c>
      <c r="E7" t="s">
        <v>989</v>
      </c>
      <c r="F7" t="s">
        <v>990</v>
      </c>
    </row>
    <row r="8" spans="1:6" x14ac:dyDescent="0.25">
      <c r="A8">
        <v>7</v>
      </c>
      <c r="B8" t="s">
        <v>195</v>
      </c>
      <c r="C8" t="s">
        <v>194</v>
      </c>
      <c r="D8" t="s">
        <v>988</v>
      </c>
      <c r="E8" t="s">
        <v>989</v>
      </c>
      <c r="F8" t="s">
        <v>990</v>
      </c>
    </row>
    <row r="9" spans="1:6" x14ac:dyDescent="0.25">
      <c r="A9">
        <v>8</v>
      </c>
      <c r="B9" t="s">
        <v>887</v>
      </c>
      <c r="C9" t="s">
        <v>886</v>
      </c>
      <c r="D9" t="s">
        <v>988</v>
      </c>
      <c r="E9" t="s">
        <v>989</v>
      </c>
      <c r="F9" t="s">
        <v>990</v>
      </c>
    </row>
    <row r="10" spans="1:6" x14ac:dyDescent="0.25">
      <c r="A10">
        <v>9</v>
      </c>
      <c r="B10" t="s">
        <v>677</v>
      </c>
      <c r="C10" t="s">
        <v>676</v>
      </c>
      <c r="D10" t="s">
        <v>988</v>
      </c>
      <c r="E10" t="s">
        <v>989</v>
      </c>
      <c r="F10" t="s">
        <v>990</v>
      </c>
    </row>
    <row r="11" spans="1:6" x14ac:dyDescent="0.25">
      <c r="A11">
        <v>10</v>
      </c>
      <c r="B11" t="s">
        <v>13</v>
      </c>
      <c r="C11" t="s">
        <v>12</v>
      </c>
      <c r="D11" t="s">
        <v>988</v>
      </c>
      <c r="E11" t="s">
        <v>989</v>
      </c>
      <c r="F11" t="s">
        <v>990</v>
      </c>
    </row>
    <row r="12" spans="1:6" x14ac:dyDescent="0.25">
      <c r="A12">
        <v>11</v>
      </c>
      <c r="B12" t="s">
        <v>5</v>
      </c>
      <c r="C12" t="s">
        <v>14</v>
      </c>
      <c r="D12" t="s">
        <v>988</v>
      </c>
      <c r="E12" t="s">
        <v>989</v>
      </c>
      <c r="F12" t="s">
        <v>990</v>
      </c>
    </row>
    <row r="13" spans="1:6" x14ac:dyDescent="0.25">
      <c r="A13">
        <v>12</v>
      </c>
      <c r="B13" t="s">
        <v>68</v>
      </c>
      <c r="C13" t="s">
        <v>67</v>
      </c>
      <c r="D13" t="s">
        <v>988</v>
      </c>
      <c r="E13" t="s">
        <v>989</v>
      </c>
      <c r="F13" t="s">
        <v>990</v>
      </c>
    </row>
    <row r="14" spans="1:6" x14ac:dyDescent="0.25">
      <c r="A14">
        <v>13</v>
      </c>
      <c r="B14" t="s">
        <v>719</v>
      </c>
      <c r="C14" t="s">
        <v>718</v>
      </c>
      <c r="D14" t="s">
        <v>988</v>
      </c>
      <c r="E14" t="s">
        <v>989</v>
      </c>
      <c r="F14" t="s">
        <v>990</v>
      </c>
    </row>
    <row r="15" spans="1:6" x14ac:dyDescent="0.25">
      <c r="A15">
        <v>14</v>
      </c>
      <c r="B15" t="s">
        <v>585</v>
      </c>
      <c r="C15" t="s">
        <v>10</v>
      </c>
      <c r="D15" t="s">
        <v>988</v>
      </c>
      <c r="E15" t="s">
        <v>989</v>
      </c>
      <c r="F15" t="s">
        <v>990</v>
      </c>
    </row>
    <row r="16" spans="1:6" x14ac:dyDescent="0.25">
      <c r="A16">
        <v>15</v>
      </c>
      <c r="B16" t="s">
        <v>753</v>
      </c>
      <c r="C16" t="s">
        <v>752</v>
      </c>
      <c r="D16" t="s">
        <v>988</v>
      </c>
      <c r="E16" t="s">
        <v>989</v>
      </c>
      <c r="F16" t="s">
        <v>990</v>
      </c>
    </row>
    <row r="17" spans="1:6" x14ac:dyDescent="0.25">
      <c r="A17">
        <v>16</v>
      </c>
      <c r="B17" t="s">
        <v>657</v>
      </c>
      <c r="C17" t="s">
        <v>656</v>
      </c>
      <c r="D17" t="s">
        <v>988</v>
      </c>
      <c r="E17" t="s">
        <v>989</v>
      </c>
      <c r="F17" t="s">
        <v>990</v>
      </c>
    </row>
    <row r="18" spans="1:6" x14ac:dyDescent="0.25">
      <c r="A18">
        <v>17</v>
      </c>
      <c r="B18" t="s">
        <v>135</v>
      </c>
      <c r="C18" t="s">
        <v>134</v>
      </c>
      <c r="D18" t="s">
        <v>988</v>
      </c>
      <c r="E18" t="s">
        <v>989</v>
      </c>
      <c r="F18" t="s">
        <v>990</v>
      </c>
    </row>
    <row r="19" spans="1:6" x14ac:dyDescent="0.25">
      <c r="A19">
        <v>18</v>
      </c>
      <c r="B19" t="s">
        <v>361</v>
      </c>
      <c r="C19" t="s">
        <v>360</v>
      </c>
      <c r="D19" t="s">
        <v>988</v>
      </c>
      <c r="E19" t="s">
        <v>989</v>
      </c>
      <c r="F19" t="s">
        <v>990</v>
      </c>
    </row>
    <row r="20" spans="1:6" x14ac:dyDescent="0.25">
      <c r="A20">
        <v>19</v>
      </c>
      <c r="B20" t="s">
        <v>876</v>
      </c>
      <c r="C20" t="s">
        <v>875</v>
      </c>
      <c r="D20" t="s">
        <v>988</v>
      </c>
      <c r="E20" t="s">
        <v>989</v>
      </c>
      <c r="F20" t="s">
        <v>990</v>
      </c>
    </row>
    <row r="21" spans="1:6" x14ac:dyDescent="0.25">
      <c r="A21">
        <v>20</v>
      </c>
      <c r="B21" t="s">
        <v>880</v>
      </c>
      <c r="C21" t="s">
        <v>879</v>
      </c>
      <c r="D21" t="s">
        <v>988</v>
      </c>
      <c r="E21" t="s">
        <v>989</v>
      </c>
      <c r="F21" t="s">
        <v>990</v>
      </c>
    </row>
    <row r="22" spans="1:6" x14ac:dyDescent="0.25">
      <c r="A22">
        <v>21</v>
      </c>
      <c r="B22" t="s">
        <v>83</v>
      </c>
      <c r="C22" t="s">
        <v>84</v>
      </c>
      <c r="D22" t="s">
        <v>988</v>
      </c>
      <c r="E22" t="s">
        <v>989</v>
      </c>
      <c r="F22" t="s">
        <v>990</v>
      </c>
    </row>
    <row r="23" spans="1:6" x14ac:dyDescent="0.25">
      <c r="A23">
        <v>22</v>
      </c>
      <c r="B23" t="s">
        <v>147</v>
      </c>
      <c r="C23" t="s">
        <v>146</v>
      </c>
      <c r="D23" t="s">
        <v>988</v>
      </c>
      <c r="E23" t="s">
        <v>989</v>
      </c>
      <c r="F23" t="s">
        <v>990</v>
      </c>
    </row>
    <row r="24" spans="1:6" x14ac:dyDescent="0.25">
      <c r="A24">
        <v>23</v>
      </c>
      <c r="B24" t="s">
        <v>702</v>
      </c>
      <c r="C24" t="s">
        <v>701</v>
      </c>
      <c r="D24" t="s">
        <v>988</v>
      </c>
      <c r="E24" t="s">
        <v>989</v>
      </c>
      <c r="F24" t="s">
        <v>990</v>
      </c>
    </row>
    <row r="25" spans="1:6" x14ac:dyDescent="0.25">
      <c r="A25">
        <v>24</v>
      </c>
      <c r="B25" t="s">
        <v>661</v>
      </c>
      <c r="C25" t="s">
        <v>660</v>
      </c>
      <c r="D25" t="s">
        <v>988</v>
      </c>
      <c r="E25" t="s">
        <v>989</v>
      </c>
      <c r="F25" t="s">
        <v>990</v>
      </c>
    </row>
    <row r="26" spans="1:6" x14ac:dyDescent="0.25">
      <c r="A26">
        <v>25</v>
      </c>
      <c r="B26" t="s">
        <v>665</v>
      </c>
      <c r="C26" t="s">
        <v>664</v>
      </c>
      <c r="D26" t="s">
        <v>988</v>
      </c>
      <c r="E26" t="s">
        <v>989</v>
      </c>
      <c r="F26" t="s">
        <v>990</v>
      </c>
    </row>
    <row r="27" spans="1:6" x14ac:dyDescent="0.25">
      <c r="A27">
        <v>26</v>
      </c>
      <c r="B27" t="s">
        <v>625</v>
      </c>
      <c r="C27" t="s">
        <v>624</v>
      </c>
      <c r="D27" t="s">
        <v>988</v>
      </c>
      <c r="E27" t="s">
        <v>989</v>
      </c>
      <c r="F27" t="s">
        <v>990</v>
      </c>
    </row>
    <row r="28" spans="1:6" x14ac:dyDescent="0.25">
      <c r="A28">
        <v>27</v>
      </c>
      <c r="B28" t="s">
        <v>92</v>
      </c>
      <c r="C28" t="s">
        <v>91</v>
      </c>
      <c r="D28" t="s">
        <v>988</v>
      </c>
      <c r="E28" t="s">
        <v>989</v>
      </c>
      <c r="F28" t="s">
        <v>990</v>
      </c>
    </row>
    <row r="29" spans="1:6" x14ac:dyDescent="0.25">
      <c r="A29">
        <v>28</v>
      </c>
      <c r="B29" t="s">
        <v>751</v>
      </c>
      <c r="C29" t="s">
        <v>750</v>
      </c>
      <c r="D29" t="s">
        <v>988</v>
      </c>
      <c r="E29" t="s">
        <v>989</v>
      </c>
      <c r="F29" t="s">
        <v>990</v>
      </c>
    </row>
    <row r="30" spans="1:6" x14ac:dyDescent="0.25">
      <c r="A30">
        <v>29</v>
      </c>
      <c r="B30" t="s">
        <v>653</v>
      </c>
      <c r="C30" t="s">
        <v>652</v>
      </c>
      <c r="D30" t="s">
        <v>988</v>
      </c>
      <c r="E30" t="s">
        <v>989</v>
      </c>
      <c r="F30" t="s">
        <v>990</v>
      </c>
    </row>
    <row r="31" spans="1:6" x14ac:dyDescent="0.25">
      <c r="A31">
        <v>30</v>
      </c>
      <c r="B31" t="s">
        <v>709</v>
      </c>
      <c r="C31" t="s">
        <v>708</v>
      </c>
      <c r="D31" t="s">
        <v>988</v>
      </c>
      <c r="E31" t="s">
        <v>989</v>
      </c>
      <c r="F31" t="s">
        <v>990</v>
      </c>
    </row>
    <row r="32" spans="1:6" x14ac:dyDescent="0.25">
      <c r="A32">
        <v>31</v>
      </c>
      <c r="B32" t="s">
        <v>116</v>
      </c>
      <c r="C32" t="s">
        <v>115</v>
      </c>
      <c r="D32" t="s">
        <v>988</v>
      </c>
      <c r="E32" t="s">
        <v>989</v>
      </c>
      <c r="F32" t="s">
        <v>990</v>
      </c>
    </row>
    <row r="33" spans="1:6" x14ac:dyDescent="0.25">
      <c r="A33">
        <v>32</v>
      </c>
      <c r="B33" t="s">
        <v>346</v>
      </c>
      <c r="C33" t="s">
        <v>345</v>
      </c>
      <c r="D33" t="s">
        <v>988</v>
      </c>
      <c r="E33" t="s">
        <v>989</v>
      </c>
      <c r="F33" t="s">
        <v>990</v>
      </c>
    </row>
    <row r="34" spans="1:6" x14ac:dyDescent="0.25">
      <c r="A34">
        <v>33</v>
      </c>
      <c r="B34" t="s">
        <v>118</v>
      </c>
      <c r="C34" t="s">
        <v>117</v>
      </c>
      <c r="D34" t="s">
        <v>988</v>
      </c>
      <c r="E34" t="s">
        <v>989</v>
      </c>
      <c r="F34" t="s">
        <v>990</v>
      </c>
    </row>
    <row r="35" spans="1:6" x14ac:dyDescent="0.25">
      <c r="A35">
        <v>34</v>
      </c>
      <c r="B35" t="s">
        <v>729</v>
      </c>
      <c r="C35" t="s">
        <v>728</v>
      </c>
      <c r="D35" t="s">
        <v>988</v>
      </c>
      <c r="E35" t="s">
        <v>989</v>
      </c>
      <c r="F35" t="s">
        <v>990</v>
      </c>
    </row>
    <row r="36" spans="1:6" x14ac:dyDescent="0.25">
      <c r="A36">
        <v>35</v>
      </c>
      <c r="B36" t="s">
        <v>203</v>
      </c>
      <c r="C36" t="s">
        <v>202</v>
      </c>
      <c r="D36" t="s">
        <v>988</v>
      </c>
      <c r="E36" t="s">
        <v>989</v>
      </c>
      <c r="F36" t="s">
        <v>990</v>
      </c>
    </row>
    <row r="37" spans="1:6" x14ac:dyDescent="0.25">
      <c r="A37">
        <v>36</v>
      </c>
      <c r="B37" t="s">
        <v>64</v>
      </c>
      <c r="C37" t="s">
        <v>63</v>
      </c>
      <c r="D37" t="s">
        <v>988</v>
      </c>
      <c r="E37" t="s">
        <v>989</v>
      </c>
      <c r="F37" t="s">
        <v>990</v>
      </c>
    </row>
    <row r="38" spans="1:6" x14ac:dyDescent="0.25">
      <c r="A38">
        <v>37</v>
      </c>
      <c r="B38" t="s">
        <v>689</v>
      </c>
      <c r="C38" t="s">
        <v>688</v>
      </c>
      <c r="D38" t="s">
        <v>988</v>
      </c>
      <c r="E38" t="s">
        <v>989</v>
      </c>
      <c r="F38" t="s">
        <v>990</v>
      </c>
    </row>
    <row r="39" spans="1:6" x14ac:dyDescent="0.25">
      <c r="A39">
        <v>38</v>
      </c>
      <c r="B39" t="s">
        <v>633</v>
      </c>
      <c r="C39" t="s">
        <v>632</v>
      </c>
      <c r="D39" t="s">
        <v>988</v>
      </c>
      <c r="E39" t="s">
        <v>989</v>
      </c>
      <c r="F39" t="s">
        <v>990</v>
      </c>
    </row>
    <row r="40" spans="1:6" x14ac:dyDescent="0.25">
      <c r="A40">
        <v>39</v>
      </c>
      <c r="B40" t="s">
        <v>731</v>
      </c>
      <c r="C40" t="s">
        <v>730</v>
      </c>
      <c r="D40" t="s">
        <v>988</v>
      </c>
      <c r="E40" t="s">
        <v>989</v>
      </c>
      <c r="F40" t="s">
        <v>990</v>
      </c>
    </row>
    <row r="41" spans="1:6" x14ac:dyDescent="0.25">
      <c r="A41">
        <v>40</v>
      </c>
      <c r="B41" t="s">
        <v>353</v>
      </c>
      <c r="C41" t="s">
        <v>352</v>
      </c>
      <c r="D41" t="s">
        <v>988</v>
      </c>
      <c r="E41" t="s">
        <v>989</v>
      </c>
      <c r="F41" t="s">
        <v>990</v>
      </c>
    </row>
    <row r="42" spans="1:6" x14ac:dyDescent="0.25">
      <c r="A42">
        <v>41</v>
      </c>
      <c r="B42" t="s">
        <v>857</v>
      </c>
      <c r="C42" t="s">
        <v>856</v>
      </c>
      <c r="D42" t="s">
        <v>988</v>
      </c>
      <c r="E42" t="s">
        <v>989</v>
      </c>
      <c r="F42" t="s">
        <v>990</v>
      </c>
    </row>
    <row r="43" spans="1:6" x14ac:dyDescent="0.25">
      <c r="A43">
        <v>42</v>
      </c>
      <c r="B43" t="s">
        <v>739</v>
      </c>
      <c r="C43" t="s">
        <v>738</v>
      </c>
      <c r="D43" t="s">
        <v>988</v>
      </c>
      <c r="E43" t="s">
        <v>989</v>
      </c>
      <c r="F43" t="s">
        <v>990</v>
      </c>
    </row>
    <row r="44" spans="1:6" x14ac:dyDescent="0.25">
      <c r="A44">
        <v>43</v>
      </c>
      <c r="B44" t="s">
        <v>181</v>
      </c>
      <c r="C44" t="s">
        <v>180</v>
      </c>
      <c r="D44" t="s">
        <v>988</v>
      </c>
      <c r="E44" t="s">
        <v>989</v>
      </c>
      <c r="F44" t="s">
        <v>990</v>
      </c>
    </row>
    <row r="45" spans="1:6" x14ac:dyDescent="0.25">
      <c r="A45">
        <v>44</v>
      </c>
      <c r="B45" t="s">
        <v>905</v>
      </c>
      <c r="C45" t="s">
        <v>904</v>
      </c>
      <c r="D45" t="s">
        <v>988</v>
      </c>
      <c r="E45" t="s">
        <v>989</v>
      </c>
      <c r="F45" t="s">
        <v>990</v>
      </c>
    </row>
    <row r="46" spans="1:6" x14ac:dyDescent="0.25">
      <c r="A46">
        <v>45</v>
      </c>
      <c r="B46" t="s">
        <v>16</v>
      </c>
      <c r="C46" t="s">
        <v>15</v>
      </c>
      <c r="D46" t="s">
        <v>988</v>
      </c>
      <c r="E46" t="s">
        <v>989</v>
      </c>
      <c r="F46" t="s">
        <v>990</v>
      </c>
    </row>
    <row r="47" spans="1:6" x14ac:dyDescent="0.25">
      <c r="A47">
        <v>46</v>
      </c>
      <c r="B47" t="s">
        <v>771</v>
      </c>
      <c r="C47" t="s">
        <v>770</v>
      </c>
      <c r="D47" t="s">
        <v>988</v>
      </c>
      <c r="E47" t="s">
        <v>989</v>
      </c>
      <c r="F47" t="s">
        <v>990</v>
      </c>
    </row>
    <row r="48" spans="1:6" x14ac:dyDescent="0.25">
      <c r="A48">
        <v>47</v>
      </c>
      <c r="B48" t="s">
        <v>199</v>
      </c>
      <c r="C48" t="s">
        <v>198</v>
      </c>
      <c r="D48" t="s">
        <v>988</v>
      </c>
      <c r="E48" t="s">
        <v>989</v>
      </c>
      <c r="F48" t="s">
        <v>990</v>
      </c>
    </row>
    <row r="49" spans="1:6" x14ac:dyDescent="0.25">
      <c r="A49">
        <v>48</v>
      </c>
      <c r="B49" t="s">
        <v>137</v>
      </c>
      <c r="C49" t="s">
        <v>136</v>
      </c>
      <c r="D49" t="s">
        <v>988</v>
      </c>
      <c r="E49" t="s">
        <v>989</v>
      </c>
      <c r="F49" t="s">
        <v>990</v>
      </c>
    </row>
    <row r="50" spans="1:6" x14ac:dyDescent="0.25">
      <c r="A50">
        <v>49</v>
      </c>
      <c r="B50" t="s">
        <v>143</v>
      </c>
      <c r="C50" t="s">
        <v>142</v>
      </c>
      <c r="D50" t="s">
        <v>988</v>
      </c>
      <c r="E50" t="s">
        <v>989</v>
      </c>
      <c r="F50" t="s">
        <v>990</v>
      </c>
    </row>
    <row r="51" spans="1:6" x14ac:dyDescent="0.25">
      <c r="A51">
        <v>50</v>
      </c>
      <c r="B51" t="s">
        <v>667</v>
      </c>
      <c r="C51" t="s">
        <v>666</v>
      </c>
      <c r="D51" t="s">
        <v>988</v>
      </c>
      <c r="E51" t="s">
        <v>989</v>
      </c>
      <c r="F51" t="s">
        <v>990</v>
      </c>
    </row>
    <row r="52" spans="1:6" x14ac:dyDescent="0.25">
      <c r="A52">
        <v>51</v>
      </c>
      <c r="B52" t="s">
        <v>743</v>
      </c>
      <c r="C52" t="s">
        <v>742</v>
      </c>
      <c r="D52" t="s">
        <v>988</v>
      </c>
      <c r="E52" t="s">
        <v>989</v>
      </c>
      <c r="F52" t="s">
        <v>990</v>
      </c>
    </row>
    <row r="53" spans="1:6" x14ac:dyDescent="0.25">
      <c r="A53">
        <v>52</v>
      </c>
      <c r="B53" t="s">
        <v>20</v>
      </c>
      <c r="C53" t="s">
        <v>19</v>
      </c>
      <c r="D53" t="s">
        <v>988</v>
      </c>
      <c r="E53" t="s">
        <v>989</v>
      </c>
      <c r="F53" t="s">
        <v>990</v>
      </c>
    </row>
    <row r="54" spans="1:6" x14ac:dyDescent="0.25">
      <c r="A54">
        <v>53</v>
      </c>
      <c r="B54" t="s">
        <v>793</v>
      </c>
      <c r="C54" t="s">
        <v>792</v>
      </c>
      <c r="D54" t="s">
        <v>988</v>
      </c>
      <c r="E54" t="s">
        <v>989</v>
      </c>
      <c r="F54" t="s">
        <v>990</v>
      </c>
    </row>
    <row r="55" spans="1:6" x14ac:dyDescent="0.25">
      <c r="A55">
        <v>54</v>
      </c>
      <c r="B55" t="s">
        <v>705</v>
      </c>
      <c r="C55" t="s">
        <v>704</v>
      </c>
      <c r="D55" t="s">
        <v>988</v>
      </c>
      <c r="E55" t="s">
        <v>989</v>
      </c>
      <c r="F55" t="s">
        <v>990</v>
      </c>
    </row>
    <row r="56" spans="1:6" x14ac:dyDescent="0.25">
      <c r="A56">
        <v>55</v>
      </c>
      <c r="B56" t="s">
        <v>859</v>
      </c>
      <c r="C56" t="s">
        <v>858</v>
      </c>
      <c r="D56" t="s">
        <v>988</v>
      </c>
      <c r="E56" t="s">
        <v>989</v>
      </c>
      <c r="F56" t="s">
        <v>990</v>
      </c>
    </row>
    <row r="57" spans="1:6" x14ac:dyDescent="0.25">
      <c r="A57">
        <v>56</v>
      </c>
      <c r="B57" t="s">
        <v>22</v>
      </c>
      <c r="C57" t="s">
        <v>21</v>
      </c>
      <c r="D57" t="s">
        <v>988</v>
      </c>
      <c r="E57" t="s">
        <v>989</v>
      </c>
      <c r="F57" t="s">
        <v>990</v>
      </c>
    </row>
    <row r="58" spans="1:6" x14ac:dyDescent="0.25">
      <c r="A58">
        <v>57</v>
      </c>
      <c r="B58" t="s">
        <v>635</v>
      </c>
      <c r="C58" t="s">
        <v>634</v>
      </c>
      <c r="D58" t="s">
        <v>988</v>
      </c>
      <c r="E58" t="s">
        <v>989</v>
      </c>
      <c r="F58" t="s">
        <v>990</v>
      </c>
    </row>
    <row r="59" spans="1:6" x14ac:dyDescent="0.25">
      <c r="A59">
        <v>58</v>
      </c>
      <c r="B59" t="s">
        <v>376</v>
      </c>
      <c r="C59" t="s">
        <v>375</v>
      </c>
      <c r="D59" t="s">
        <v>988</v>
      </c>
      <c r="E59" t="s">
        <v>989</v>
      </c>
      <c r="F59" t="s">
        <v>990</v>
      </c>
    </row>
    <row r="60" spans="1:6" x14ac:dyDescent="0.25">
      <c r="A60">
        <v>59</v>
      </c>
      <c r="B60" t="s">
        <v>24</v>
      </c>
      <c r="C60" t="s">
        <v>23</v>
      </c>
      <c r="D60" t="s">
        <v>988</v>
      </c>
      <c r="E60" t="s">
        <v>989</v>
      </c>
      <c r="F60" t="s">
        <v>990</v>
      </c>
    </row>
    <row r="61" spans="1:6" x14ac:dyDescent="0.25">
      <c r="A61">
        <v>60</v>
      </c>
      <c r="B61" t="s">
        <v>98</v>
      </c>
      <c r="C61" t="s">
        <v>97</v>
      </c>
      <c r="D61" t="s">
        <v>988</v>
      </c>
      <c r="E61" t="s">
        <v>989</v>
      </c>
      <c r="F61" t="s">
        <v>990</v>
      </c>
    </row>
    <row r="62" spans="1:6" x14ac:dyDescent="0.25">
      <c r="A62">
        <v>61</v>
      </c>
      <c r="B62" t="s">
        <v>487</v>
      </c>
      <c r="C62" t="s">
        <v>710</v>
      </c>
      <c r="D62" t="s">
        <v>988</v>
      </c>
      <c r="E62" t="s">
        <v>989</v>
      </c>
      <c r="F62" t="s">
        <v>990</v>
      </c>
    </row>
    <row r="63" spans="1:6" x14ac:dyDescent="0.25">
      <c r="A63">
        <v>62</v>
      </c>
      <c r="B63" t="s">
        <v>26</v>
      </c>
      <c r="C63" t="s">
        <v>25</v>
      </c>
      <c r="D63" t="s">
        <v>988</v>
      </c>
      <c r="E63" t="s">
        <v>989</v>
      </c>
      <c r="F63" t="s">
        <v>990</v>
      </c>
    </row>
    <row r="64" spans="1:6" x14ac:dyDescent="0.25">
      <c r="A64">
        <v>63</v>
      </c>
      <c r="B64" t="s">
        <v>806</v>
      </c>
      <c r="C64" t="s">
        <v>805</v>
      </c>
      <c r="D64" t="s">
        <v>988</v>
      </c>
      <c r="E64" t="s">
        <v>989</v>
      </c>
      <c r="F64" t="s">
        <v>990</v>
      </c>
    </row>
    <row r="65" spans="1:6" x14ac:dyDescent="0.25">
      <c r="A65">
        <v>64</v>
      </c>
      <c r="B65" t="s">
        <v>443</v>
      </c>
      <c r="C65" t="s">
        <v>442</v>
      </c>
      <c r="D65" t="s">
        <v>988</v>
      </c>
      <c r="E65" t="s">
        <v>989</v>
      </c>
      <c r="F65" t="s">
        <v>990</v>
      </c>
    </row>
    <row r="66" spans="1:6" x14ac:dyDescent="0.25">
      <c r="A66">
        <v>65</v>
      </c>
      <c r="B66" t="s">
        <v>845</v>
      </c>
      <c r="C66" t="s">
        <v>844</v>
      </c>
      <c r="D66" t="s">
        <v>988</v>
      </c>
      <c r="E66" t="s">
        <v>989</v>
      </c>
      <c r="F66" t="s">
        <v>990</v>
      </c>
    </row>
    <row r="67" spans="1:6" x14ac:dyDescent="0.25">
      <c r="A67">
        <v>66</v>
      </c>
      <c r="B67" t="s">
        <v>460</v>
      </c>
      <c r="C67" t="s">
        <v>459</v>
      </c>
      <c r="D67" t="s">
        <v>988</v>
      </c>
      <c r="E67" t="s">
        <v>989</v>
      </c>
      <c r="F67" t="s">
        <v>990</v>
      </c>
    </row>
    <row r="68" spans="1:6" x14ac:dyDescent="0.25">
      <c r="A68">
        <v>67</v>
      </c>
      <c r="B68" t="s">
        <v>783</v>
      </c>
      <c r="C68" t="s">
        <v>782</v>
      </c>
      <c r="D68" t="s">
        <v>988</v>
      </c>
      <c r="E68" t="s">
        <v>989</v>
      </c>
      <c r="F68" t="s">
        <v>990</v>
      </c>
    </row>
    <row r="69" spans="1:6" x14ac:dyDescent="0.25">
      <c r="A69">
        <v>68</v>
      </c>
      <c r="B69" t="s">
        <v>18</v>
      </c>
      <c r="C69" t="s">
        <v>17</v>
      </c>
      <c r="D69" t="s">
        <v>988</v>
      </c>
      <c r="E69" t="s">
        <v>989</v>
      </c>
      <c r="F69" t="s">
        <v>990</v>
      </c>
    </row>
    <row r="70" spans="1:6" x14ac:dyDescent="0.25">
      <c r="A70">
        <v>69</v>
      </c>
      <c r="B70" t="s">
        <v>125</v>
      </c>
      <c r="C70" t="s">
        <v>124</v>
      </c>
      <c r="D70" t="s">
        <v>988</v>
      </c>
      <c r="E70" t="s">
        <v>989</v>
      </c>
      <c r="F70" t="s">
        <v>990</v>
      </c>
    </row>
    <row r="71" spans="1:6" x14ac:dyDescent="0.25">
      <c r="A71">
        <v>70</v>
      </c>
      <c r="B71" t="s">
        <v>380</v>
      </c>
      <c r="C71" t="s">
        <v>379</v>
      </c>
      <c r="D71" t="s">
        <v>988</v>
      </c>
      <c r="E71" t="s">
        <v>989</v>
      </c>
      <c r="F71" t="s">
        <v>990</v>
      </c>
    </row>
    <row r="72" spans="1:6" x14ac:dyDescent="0.25">
      <c r="A72">
        <v>71</v>
      </c>
      <c r="B72" t="s">
        <v>643</v>
      </c>
      <c r="C72" t="s">
        <v>642</v>
      </c>
      <c r="D72" t="s">
        <v>988</v>
      </c>
      <c r="E72" t="s">
        <v>989</v>
      </c>
      <c r="F72" t="s">
        <v>990</v>
      </c>
    </row>
    <row r="73" spans="1:6" x14ac:dyDescent="0.25">
      <c r="A73">
        <v>72</v>
      </c>
      <c r="B73" t="s">
        <v>862</v>
      </c>
      <c r="C73" t="s">
        <v>861</v>
      </c>
      <c r="D73" t="s">
        <v>988</v>
      </c>
      <c r="E73" t="s">
        <v>989</v>
      </c>
      <c r="F73" t="s">
        <v>990</v>
      </c>
    </row>
    <row r="74" spans="1:6" x14ac:dyDescent="0.25">
      <c r="A74">
        <v>73</v>
      </c>
      <c r="B74" t="s">
        <v>88</v>
      </c>
      <c r="C74" t="s">
        <v>87</v>
      </c>
      <c r="D74" t="s">
        <v>988</v>
      </c>
      <c r="E74" t="s">
        <v>989</v>
      </c>
      <c r="F74" t="s">
        <v>990</v>
      </c>
    </row>
    <row r="75" spans="1:6" x14ac:dyDescent="0.25">
      <c r="A75">
        <v>74</v>
      </c>
      <c r="B75" t="s">
        <v>885</v>
      </c>
      <c r="C75" t="s">
        <v>884</v>
      </c>
      <c r="D75" t="s">
        <v>988</v>
      </c>
      <c r="E75" t="s">
        <v>989</v>
      </c>
      <c r="F75" t="s">
        <v>990</v>
      </c>
    </row>
    <row r="76" spans="1:6" x14ac:dyDescent="0.25">
      <c r="A76">
        <v>75</v>
      </c>
      <c r="B76" t="s">
        <v>842</v>
      </c>
      <c r="C76" t="s">
        <v>841</v>
      </c>
      <c r="D76" t="s">
        <v>988</v>
      </c>
      <c r="E76" t="s">
        <v>989</v>
      </c>
      <c r="F76" t="s">
        <v>990</v>
      </c>
    </row>
    <row r="77" spans="1:6" x14ac:dyDescent="0.25">
      <c r="A77">
        <v>76</v>
      </c>
      <c r="B77" t="s">
        <v>70</v>
      </c>
      <c r="C77" t="s">
        <v>69</v>
      </c>
      <c r="D77" t="s">
        <v>988</v>
      </c>
      <c r="E77" t="s">
        <v>989</v>
      </c>
      <c r="F77" t="s">
        <v>990</v>
      </c>
    </row>
    <row r="78" spans="1:6" x14ac:dyDescent="0.25">
      <c r="A78">
        <v>77</v>
      </c>
      <c r="B78" t="s">
        <v>741</v>
      </c>
      <c r="C78" t="s">
        <v>740</v>
      </c>
      <c r="D78" t="s">
        <v>988</v>
      </c>
      <c r="E78" t="s">
        <v>989</v>
      </c>
      <c r="F78" t="s">
        <v>990</v>
      </c>
    </row>
    <row r="79" spans="1:6" x14ac:dyDescent="0.25">
      <c r="A79">
        <v>78</v>
      </c>
      <c r="B79" t="s">
        <v>288</v>
      </c>
      <c r="C79" t="s">
        <v>287</v>
      </c>
      <c r="D79" t="s">
        <v>988</v>
      </c>
      <c r="E79" t="s">
        <v>989</v>
      </c>
      <c r="F79" t="s">
        <v>990</v>
      </c>
    </row>
    <row r="80" spans="1:6" x14ac:dyDescent="0.25">
      <c r="A80">
        <v>79</v>
      </c>
      <c r="B80" t="s">
        <v>396</v>
      </c>
      <c r="C80" t="s">
        <v>395</v>
      </c>
      <c r="D80" t="s">
        <v>988</v>
      </c>
      <c r="E80" t="s">
        <v>989</v>
      </c>
      <c r="F80" t="s">
        <v>990</v>
      </c>
    </row>
    <row r="81" spans="1:6" x14ac:dyDescent="0.25">
      <c r="A81">
        <v>80</v>
      </c>
      <c r="B81" t="s">
        <v>637</v>
      </c>
      <c r="C81" t="s">
        <v>636</v>
      </c>
      <c r="D81" t="s">
        <v>988</v>
      </c>
      <c r="E81" t="s">
        <v>989</v>
      </c>
      <c r="F81" t="s">
        <v>990</v>
      </c>
    </row>
    <row r="82" spans="1:6" x14ac:dyDescent="0.25">
      <c r="A82">
        <v>81</v>
      </c>
      <c r="B82" t="s">
        <v>290</v>
      </c>
      <c r="C82" t="s">
        <v>289</v>
      </c>
      <c r="D82" t="s">
        <v>988</v>
      </c>
      <c r="E82" t="s">
        <v>989</v>
      </c>
      <c r="F82" t="s">
        <v>990</v>
      </c>
    </row>
    <row r="83" spans="1:6" x14ac:dyDescent="0.25">
      <c r="A83">
        <v>82</v>
      </c>
      <c r="B83" t="s">
        <v>799</v>
      </c>
      <c r="C83" t="s">
        <v>798</v>
      </c>
      <c r="D83" t="s">
        <v>988</v>
      </c>
      <c r="E83" t="s">
        <v>989</v>
      </c>
      <c r="F83" t="s">
        <v>990</v>
      </c>
    </row>
    <row r="84" spans="1:6" x14ac:dyDescent="0.25">
      <c r="A84">
        <v>83</v>
      </c>
      <c r="B84" t="s">
        <v>292</v>
      </c>
      <c r="C84" t="s">
        <v>291</v>
      </c>
      <c r="D84" t="s">
        <v>988</v>
      </c>
      <c r="E84" t="s">
        <v>989</v>
      </c>
      <c r="F84" t="s">
        <v>990</v>
      </c>
    </row>
    <row r="85" spans="1:6" x14ac:dyDescent="0.25">
      <c r="A85">
        <v>84</v>
      </c>
      <c r="B85" t="s">
        <v>868</v>
      </c>
      <c r="C85" t="s">
        <v>867</v>
      </c>
      <c r="D85" t="s">
        <v>988</v>
      </c>
      <c r="E85" t="s">
        <v>989</v>
      </c>
      <c r="F85" t="s">
        <v>990</v>
      </c>
    </row>
    <row r="86" spans="1:6" x14ac:dyDescent="0.25">
      <c r="A86">
        <v>85</v>
      </c>
      <c r="B86" t="s">
        <v>647</v>
      </c>
      <c r="C86" t="s">
        <v>646</v>
      </c>
      <c r="D86" t="s">
        <v>988</v>
      </c>
      <c r="E86" t="s">
        <v>989</v>
      </c>
      <c r="F86" t="s">
        <v>990</v>
      </c>
    </row>
    <row r="87" spans="1:6" x14ac:dyDescent="0.25">
      <c r="A87">
        <v>86</v>
      </c>
      <c r="B87" t="s">
        <v>32</v>
      </c>
      <c r="C87" t="s">
        <v>31</v>
      </c>
      <c r="D87" t="s">
        <v>988</v>
      </c>
      <c r="E87" t="s">
        <v>989</v>
      </c>
      <c r="F87" t="s">
        <v>990</v>
      </c>
    </row>
    <row r="88" spans="1:6" x14ac:dyDescent="0.25">
      <c r="A88">
        <v>87</v>
      </c>
      <c r="B88" t="s">
        <v>872</v>
      </c>
      <c r="C88" t="s">
        <v>871</v>
      </c>
      <c r="D88" t="s">
        <v>988</v>
      </c>
      <c r="E88" t="s">
        <v>989</v>
      </c>
      <c r="F88" t="s">
        <v>990</v>
      </c>
    </row>
    <row r="89" spans="1:6" x14ac:dyDescent="0.25">
      <c r="A89">
        <v>88</v>
      </c>
      <c r="B89" t="s">
        <v>735</v>
      </c>
      <c r="C89" t="s">
        <v>734</v>
      </c>
      <c r="D89" t="s">
        <v>988</v>
      </c>
      <c r="E89" t="s">
        <v>989</v>
      </c>
      <c r="F89" t="s">
        <v>990</v>
      </c>
    </row>
    <row r="90" spans="1:6" x14ac:dyDescent="0.25">
      <c r="A90">
        <v>89</v>
      </c>
      <c r="B90" t="s">
        <v>878</v>
      </c>
      <c r="C90" t="s">
        <v>877</v>
      </c>
      <c r="D90" t="s">
        <v>988</v>
      </c>
      <c r="E90" t="s">
        <v>989</v>
      </c>
      <c r="F90" t="s">
        <v>990</v>
      </c>
    </row>
    <row r="91" spans="1:6" x14ac:dyDescent="0.25">
      <c r="A91">
        <v>90</v>
      </c>
      <c r="B91" t="s">
        <v>659</v>
      </c>
      <c r="C91" t="s">
        <v>658</v>
      </c>
      <c r="D91" t="s">
        <v>988</v>
      </c>
      <c r="E91" t="s">
        <v>989</v>
      </c>
      <c r="F91" t="s">
        <v>990</v>
      </c>
    </row>
    <row r="92" spans="1:6" x14ac:dyDescent="0.25">
      <c r="A92">
        <v>91</v>
      </c>
      <c r="B92" t="s">
        <v>698</v>
      </c>
      <c r="C92" t="s">
        <v>697</v>
      </c>
      <c r="D92" t="s">
        <v>988</v>
      </c>
      <c r="E92" t="s">
        <v>989</v>
      </c>
      <c r="F92" t="s">
        <v>990</v>
      </c>
    </row>
    <row r="93" spans="1:6" x14ac:dyDescent="0.25">
      <c r="A93">
        <v>92</v>
      </c>
      <c r="B93" t="s">
        <v>721</v>
      </c>
      <c r="C93" t="s">
        <v>720</v>
      </c>
      <c r="D93" t="s">
        <v>988</v>
      </c>
      <c r="E93" t="s">
        <v>989</v>
      </c>
      <c r="F93" t="s">
        <v>990</v>
      </c>
    </row>
    <row r="94" spans="1:6" x14ac:dyDescent="0.25">
      <c r="A94">
        <v>93</v>
      </c>
      <c r="B94" t="s">
        <v>262</v>
      </c>
      <c r="C94" t="s">
        <v>261</v>
      </c>
      <c r="D94" t="s">
        <v>988</v>
      </c>
      <c r="E94" t="s">
        <v>989</v>
      </c>
      <c r="F94" t="s">
        <v>990</v>
      </c>
    </row>
    <row r="95" spans="1:6" x14ac:dyDescent="0.25">
      <c r="A95">
        <v>94</v>
      </c>
      <c r="B95" t="s">
        <v>895</v>
      </c>
      <c r="C95" t="s">
        <v>894</v>
      </c>
      <c r="D95" t="s">
        <v>988</v>
      </c>
      <c r="E95" t="s">
        <v>989</v>
      </c>
      <c r="F95" t="s">
        <v>990</v>
      </c>
    </row>
    <row r="96" spans="1:6" x14ac:dyDescent="0.25">
      <c r="A96">
        <v>95</v>
      </c>
      <c r="B96" t="s">
        <v>183</v>
      </c>
      <c r="C96" t="s">
        <v>182</v>
      </c>
      <c r="D96" t="s">
        <v>988</v>
      </c>
      <c r="E96" t="s">
        <v>989</v>
      </c>
      <c r="F96" t="s">
        <v>990</v>
      </c>
    </row>
    <row r="97" spans="1:6" x14ac:dyDescent="0.25">
      <c r="A97">
        <v>96</v>
      </c>
      <c r="B97" t="s">
        <v>183</v>
      </c>
      <c r="C97" t="s">
        <v>284</v>
      </c>
      <c r="D97" t="s">
        <v>988</v>
      </c>
      <c r="E97" t="s">
        <v>989</v>
      </c>
      <c r="F97" t="s">
        <v>990</v>
      </c>
    </row>
    <row r="98" spans="1:6" x14ac:dyDescent="0.25">
      <c r="A98">
        <v>97</v>
      </c>
      <c r="B98" t="s">
        <v>696</v>
      </c>
      <c r="C98" t="s">
        <v>695</v>
      </c>
      <c r="D98" t="s">
        <v>988</v>
      </c>
      <c r="E98" t="s">
        <v>989</v>
      </c>
      <c r="F98" t="s">
        <v>990</v>
      </c>
    </row>
    <row r="99" spans="1:6" x14ac:dyDescent="0.25">
      <c r="A99">
        <v>98</v>
      </c>
      <c r="B99" t="s">
        <v>286</v>
      </c>
      <c r="C99" t="s">
        <v>285</v>
      </c>
      <c r="D99" t="s">
        <v>988</v>
      </c>
      <c r="E99" t="s">
        <v>989</v>
      </c>
      <c r="F99" t="s">
        <v>990</v>
      </c>
    </row>
    <row r="100" spans="1:6" x14ac:dyDescent="0.25">
      <c r="A100">
        <v>99</v>
      </c>
      <c r="B100" t="s">
        <v>707</v>
      </c>
      <c r="C100" t="s">
        <v>706</v>
      </c>
      <c r="D100" t="s">
        <v>988</v>
      </c>
      <c r="E100" t="s">
        <v>989</v>
      </c>
      <c r="F100" t="s">
        <v>990</v>
      </c>
    </row>
    <row r="101" spans="1:6" x14ac:dyDescent="0.25">
      <c r="A101">
        <v>100</v>
      </c>
      <c r="B101" t="s">
        <v>797</v>
      </c>
      <c r="C101" t="s">
        <v>796</v>
      </c>
      <c r="D101" t="s">
        <v>988</v>
      </c>
      <c r="E101" t="s">
        <v>989</v>
      </c>
      <c r="F101" t="s">
        <v>990</v>
      </c>
    </row>
    <row r="102" spans="1:6" x14ac:dyDescent="0.25">
      <c r="A102">
        <v>101</v>
      </c>
      <c r="B102" t="s">
        <v>100</v>
      </c>
      <c r="C102" t="s">
        <v>99</v>
      </c>
      <c r="D102" t="s">
        <v>988</v>
      </c>
      <c r="E102" t="s">
        <v>989</v>
      </c>
      <c r="F102" t="s">
        <v>990</v>
      </c>
    </row>
    <row r="103" spans="1:6" x14ac:dyDescent="0.25">
      <c r="A103">
        <v>102</v>
      </c>
      <c r="B103" t="s">
        <v>830</v>
      </c>
      <c r="C103" t="s">
        <v>829</v>
      </c>
      <c r="D103" t="s">
        <v>988</v>
      </c>
      <c r="E103" t="s">
        <v>989</v>
      </c>
      <c r="F103" t="s">
        <v>990</v>
      </c>
    </row>
    <row r="104" spans="1:6" x14ac:dyDescent="0.25">
      <c r="A104">
        <v>103</v>
      </c>
      <c r="B104" t="s">
        <v>240</v>
      </c>
      <c r="C104" t="s">
        <v>239</v>
      </c>
      <c r="D104" t="s">
        <v>988</v>
      </c>
      <c r="E104" t="s">
        <v>989</v>
      </c>
      <c r="F104" t="s">
        <v>990</v>
      </c>
    </row>
    <row r="105" spans="1:6" x14ac:dyDescent="0.25">
      <c r="A105">
        <v>104</v>
      </c>
      <c r="B105" t="s">
        <v>681</v>
      </c>
      <c r="C105" t="s">
        <v>680</v>
      </c>
      <c r="D105" t="s">
        <v>988</v>
      </c>
      <c r="E105" t="s">
        <v>989</v>
      </c>
      <c r="F105" t="s">
        <v>990</v>
      </c>
    </row>
    <row r="106" spans="1:6" x14ac:dyDescent="0.25">
      <c r="A106">
        <v>105</v>
      </c>
      <c r="B106" t="s">
        <v>81</v>
      </c>
      <c r="C106" t="s">
        <v>82</v>
      </c>
      <c r="D106" t="s">
        <v>988</v>
      </c>
      <c r="E106" t="s">
        <v>989</v>
      </c>
      <c r="F106" t="s">
        <v>990</v>
      </c>
    </row>
    <row r="107" spans="1:6" x14ac:dyDescent="0.25">
      <c r="A107">
        <v>106</v>
      </c>
      <c r="B107" t="s">
        <v>90</v>
      </c>
      <c r="C107" t="s">
        <v>89</v>
      </c>
      <c r="D107" t="s">
        <v>988</v>
      </c>
      <c r="E107" t="s">
        <v>989</v>
      </c>
      <c r="F107" t="s">
        <v>990</v>
      </c>
    </row>
    <row r="108" spans="1:6" x14ac:dyDescent="0.25">
      <c r="A108">
        <v>107</v>
      </c>
      <c r="B108" t="s">
        <v>211</v>
      </c>
      <c r="C108" t="s">
        <v>210</v>
      </c>
      <c r="D108" t="s">
        <v>988</v>
      </c>
      <c r="E108" t="s">
        <v>989</v>
      </c>
      <c r="F108" t="s">
        <v>990</v>
      </c>
    </row>
    <row r="109" spans="1:6" x14ac:dyDescent="0.25">
      <c r="A109">
        <v>108</v>
      </c>
      <c r="B109" t="s">
        <v>899</v>
      </c>
      <c r="C109" t="s">
        <v>898</v>
      </c>
      <c r="D109" t="s">
        <v>988</v>
      </c>
      <c r="E109" t="s">
        <v>989</v>
      </c>
      <c r="F109" t="s">
        <v>990</v>
      </c>
    </row>
    <row r="110" spans="1:6" x14ac:dyDescent="0.25">
      <c r="A110">
        <v>109</v>
      </c>
      <c r="B110" t="s">
        <v>246</v>
      </c>
      <c r="C110" t="s">
        <v>245</v>
      </c>
      <c r="D110" t="s">
        <v>988</v>
      </c>
      <c r="E110" t="s">
        <v>989</v>
      </c>
      <c r="F110" t="s">
        <v>990</v>
      </c>
    </row>
    <row r="111" spans="1:6" x14ac:dyDescent="0.25">
      <c r="A111">
        <v>110</v>
      </c>
      <c r="B111" t="s">
        <v>673</v>
      </c>
      <c r="C111" t="s">
        <v>672</v>
      </c>
      <c r="D111" t="s">
        <v>988</v>
      </c>
      <c r="E111" t="s">
        <v>989</v>
      </c>
      <c r="F111" t="s">
        <v>990</v>
      </c>
    </row>
    <row r="112" spans="1:6" x14ac:dyDescent="0.25">
      <c r="A112">
        <v>111</v>
      </c>
      <c r="B112" t="s">
        <v>476</v>
      </c>
      <c r="C112" t="s">
        <v>475</v>
      </c>
      <c r="D112" t="s">
        <v>988</v>
      </c>
      <c r="E112" t="s">
        <v>989</v>
      </c>
      <c r="F112" t="s">
        <v>990</v>
      </c>
    </row>
    <row r="113" spans="1:6" x14ac:dyDescent="0.25">
      <c r="A113">
        <v>112</v>
      </c>
      <c r="B113" t="s">
        <v>34</v>
      </c>
      <c r="C113" t="s">
        <v>33</v>
      </c>
      <c r="D113" t="s">
        <v>988</v>
      </c>
      <c r="E113" t="s">
        <v>989</v>
      </c>
      <c r="F113" t="s">
        <v>990</v>
      </c>
    </row>
    <row r="114" spans="1:6" x14ac:dyDescent="0.25">
      <c r="A114">
        <v>113</v>
      </c>
      <c r="B114" t="s">
        <v>207</v>
      </c>
      <c r="C114" t="s">
        <v>206</v>
      </c>
      <c r="D114" t="s">
        <v>988</v>
      </c>
      <c r="E114" t="s">
        <v>989</v>
      </c>
      <c r="F114" t="s">
        <v>990</v>
      </c>
    </row>
    <row r="115" spans="1:6" x14ac:dyDescent="0.25">
      <c r="A115">
        <v>114</v>
      </c>
      <c r="B115" t="s">
        <v>102</v>
      </c>
      <c r="C115" t="s">
        <v>101</v>
      </c>
      <c r="D115" t="s">
        <v>988</v>
      </c>
      <c r="E115" t="s">
        <v>989</v>
      </c>
      <c r="F115" t="s">
        <v>990</v>
      </c>
    </row>
    <row r="116" spans="1:6" x14ac:dyDescent="0.25">
      <c r="A116">
        <v>115</v>
      </c>
      <c r="B116" t="s">
        <v>757</v>
      </c>
      <c r="C116" t="s">
        <v>756</v>
      </c>
      <c r="D116" t="s">
        <v>988</v>
      </c>
      <c r="E116" t="s">
        <v>989</v>
      </c>
      <c r="F116" t="s">
        <v>990</v>
      </c>
    </row>
    <row r="117" spans="1:6" x14ac:dyDescent="0.25">
      <c r="A117">
        <v>116</v>
      </c>
      <c r="B117" t="s">
        <v>663</v>
      </c>
      <c r="C117" t="s">
        <v>662</v>
      </c>
      <c r="D117" t="s">
        <v>988</v>
      </c>
      <c r="E117" t="s">
        <v>989</v>
      </c>
      <c r="F117" t="s">
        <v>990</v>
      </c>
    </row>
    <row r="118" spans="1:6" x14ac:dyDescent="0.25">
      <c r="A118">
        <v>117</v>
      </c>
      <c r="B118" t="s">
        <v>715</v>
      </c>
      <c r="C118" t="s">
        <v>714</v>
      </c>
      <c r="D118" t="s">
        <v>988</v>
      </c>
      <c r="E118" t="s">
        <v>989</v>
      </c>
      <c r="F118" t="s">
        <v>990</v>
      </c>
    </row>
    <row r="119" spans="1:6" x14ac:dyDescent="0.25">
      <c r="A119">
        <v>118</v>
      </c>
      <c r="B119" t="s">
        <v>209</v>
      </c>
      <c r="C119" t="s">
        <v>208</v>
      </c>
      <c r="D119" t="s">
        <v>988</v>
      </c>
      <c r="E119" t="s">
        <v>989</v>
      </c>
      <c r="F119" t="s">
        <v>990</v>
      </c>
    </row>
    <row r="120" spans="1:6" x14ac:dyDescent="0.25">
      <c r="A120">
        <v>119</v>
      </c>
      <c r="B120" t="s">
        <v>803</v>
      </c>
      <c r="C120" t="s">
        <v>802</v>
      </c>
      <c r="D120" t="s">
        <v>988</v>
      </c>
      <c r="E120" t="s">
        <v>989</v>
      </c>
      <c r="F120" t="s">
        <v>990</v>
      </c>
    </row>
    <row r="121" spans="1:6" x14ac:dyDescent="0.25">
      <c r="A121">
        <v>120</v>
      </c>
      <c r="B121" t="s">
        <v>248</v>
      </c>
      <c r="C121" t="s">
        <v>247</v>
      </c>
      <c r="D121" t="s">
        <v>988</v>
      </c>
      <c r="E121" t="s">
        <v>989</v>
      </c>
      <c r="F121" t="s">
        <v>990</v>
      </c>
    </row>
    <row r="122" spans="1:6" x14ac:dyDescent="0.25">
      <c r="A122">
        <v>121</v>
      </c>
      <c r="B122" t="s">
        <v>36</v>
      </c>
      <c r="C122" t="s">
        <v>35</v>
      </c>
      <c r="D122" t="s">
        <v>988</v>
      </c>
      <c r="E122" t="s">
        <v>989</v>
      </c>
      <c r="F122" t="s">
        <v>990</v>
      </c>
    </row>
    <row r="123" spans="1:6" x14ac:dyDescent="0.25">
      <c r="A123">
        <v>122</v>
      </c>
      <c r="B123" t="s">
        <v>901</v>
      </c>
      <c r="C123" t="s">
        <v>900</v>
      </c>
      <c r="D123" t="s">
        <v>988</v>
      </c>
      <c r="E123" t="s">
        <v>989</v>
      </c>
      <c r="F123" t="s">
        <v>990</v>
      </c>
    </row>
    <row r="124" spans="1:6" x14ac:dyDescent="0.25">
      <c r="A124">
        <v>123</v>
      </c>
      <c r="B124" t="s">
        <v>866</v>
      </c>
      <c r="C124" t="s">
        <v>865</v>
      </c>
      <c r="D124" t="s">
        <v>988</v>
      </c>
      <c r="E124" t="s">
        <v>989</v>
      </c>
      <c r="F124" t="s">
        <v>990</v>
      </c>
    </row>
    <row r="125" spans="1:6" x14ac:dyDescent="0.25">
      <c r="A125">
        <v>124</v>
      </c>
      <c r="B125" t="s">
        <v>139</v>
      </c>
      <c r="C125" t="s">
        <v>138</v>
      </c>
      <c r="D125" t="s">
        <v>988</v>
      </c>
      <c r="E125" t="s">
        <v>989</v>
      </c>
      <c r="F125" t="s">
        <v>990</v>
      </c>
    </row>
    <row r="126" spans="1:6" x14ac:dyDescent="0.25">
      <c r="A126">
        <v>125</v>
      </c>
      <c r="B126" t="s">
        <v>173</v>
      </c>
      <c r="C126" t="s">
        <v>172</v>
      </c>
      <c r="D126" t="s">
        <v>988</v>
      </c>
      <c r="E126" t="s">
        <v>989</v>
      </c>
      <c r="F126" t="s">
        <v>990</v>
      </c>
    </row>
    <row r="127" spans="1:6" x14ac:dyDescent="0.25">
      <c r="A127">
        <v>126</v>
      </c>
      <c r="B127" t="s">
        <v>503</v>
      </c>
      <c r="C127" t="s">
        <v>502</v>
      </c>
      <c r="D127" t="s">
        <v>988</v>
      </c>
      <c r="E127" t="s">
        <v>989</v>
      </c>
      <c r="F127" t="s">
        <v>990</v>
      </c>
    </row>
    <row r="128" spans="1:6" x14ac:dyDescent="0.25">
      <c r="A128">
        <v>127</v>
      </c>
      <c r="B128" t="s">
        <v>512</v>
      </c>
      <c r="C128" t="s">
        <v>511</v>
      </c>
      <c r="D128" t="s">
        <v>988</v>
      </c>
      <c r="E128" t="s">
        <v>989</v>
      </c>
      <c r="F128" t="s">
        <v>990</v>
      </c>
    </row>
    <row r="129" spans="1:6" x14ac:dyDescent="0.25">
      <c r="A129">
        <v>128</v>
      </c>
      <c r="B129" t="s">
        <v>392</v>
      </c>
      <c r="C129" t="s">
        <v>391</v>
      </c>
      <c r="D129" t="s">
        <v>988</v>
      </c>
      <c r="E129" t="s">
        <v>989</v>
      </c>
      <c r="F129" t="s">
        <v>990</v>
      </c>
    </row>
    <row r="130" spans="1:6" x14ac:dyDescent="0.25">
      <c r="A130">
        <v>129</v>
      </c>
      <c r="B130" t="s">
        <v>763</v>
      </c>
      <c r="C130" t="s">
        <v>762</v>
      </c>
      <c r="D130" t="s">
        <v>988</v>
      </c>
      <c r="E130" t="s">
        <v>989</v>
      </c>
      <c r="F130" t="s">
        <v>990</v>
      </c>
    </row>
    <row r="131" spans="1:6" x14ac:dyDescent="0.25">
      <c r="A131">
        <v>130</v>
      </c>
      <c r="B131" t="s">
        <v>531</v>
      </c>
      <c r="C131" t="s">
        <v>530</v>
      </c>
      <c r="D131" t="s">
        <v>988</v>
      </c>
      <c r="E131" t="s">
        <v>989</v>
      </c>
      <c r="F131" t="s">
        <v>990</v>
      </c>
    </row>
    <row r="132" spans="1:6" x14ac:dyDescent="0.25">
      <c r="A132">
        <v>131</v>
      </c>
      <c r="B132" t="s">
        <v>531</v>
      </c>
      <c r="C132" t="s">
        <v>860</v>
      </c>
      <c r="D132" t="s">
        <v>988</v>
      </c>
      <c r="E132" t="s">
        <v>989</v>
      </c>
      <c r="F132" t="s">
        <v>990</v>
      </c>
    </row>
    <row r="133" spans="1:6" x14ac:dyDescent="0.25">
      <c r="A133">
        <v>132</v>
      </c>
      <c r="B133" t="s">
        <v>870</v>
      </c>
      <c r="C133" t="s">
        <v>869</v>
      </c>
      <c r="D133" t="s">
        <v>988</v>
      </c>
      <c r="E133" t="s">
        <v>989</v>
      </c>
      <c r="F133" t="s">
        <v>990</v>
      </c>
    </row>
    <row r="134" spans="1:6" x14ac:dyDescent="0.25">
      <c r="A134">
        <v>133</v>
      </c>
      <c r="B134" t="s">
        <v>482</v>
      </c>
      <c r="C134" t="s">
        <v>481</v>
      </c>
      <c r="D134" t="s">
        <v>988</v>
      </c>
      <c r="E134" t="s">
        <v>989</v>
      </c>
      <c r="F134" t="s">
        <v>990</v>
      </c>
    </row>
    <row r="135" spans="1:6" x14ac:dyDescent="0.25">
      <c r="A135">
        <v>134</v>
      </c>
      <c r="B135" t="s">
        <v>838</v>
      </c>
      <c r="C135" t="s">
        <v>837</v>
      </c>
      <c r="D135" t="s">
        <v>988</v>
      </c>
      <c r="E135" t="s">
        <v>989</v>
      </c>
      <c r="F135" t="s">
        <v>990</v>
      </c>
    </row>
    <row r="136" spans="1:6" x14ac:dyDescent="0.25">
      <c r="A136">
        <v>135</v>
      </c>
      <c r="B136" t="s">
        <v>252</v>
      </c>
      <c r="C136" t="s">
        <v>251</v>
      </c>
      <c r="D136" t="s">
        <v>988</v>
      </c>
      <c r="E136" t="s">
        <v>989</v>
      </c>
      <c r="F136" t="s">
        <v>990</v>
      </c>
    </row>
    <row r="137" spans="1:6" x14ac:dyDescent="0.25">
      <c r="A137">
        <v>136</v>
      </c>
      <c r="B137" t="s">
        <v>847</v>
      </c>
      <c r="C137" t="s">
        <v>846</v>
      </c>
      <c r="D137" t="s">
        <v>988</v>
      </c>
      <c r="E137" t="s">
        <v>989</v>
      </c>
      <c r="F137" t="s">
        <v>990</v>
      </c>
    </row>
    <row r="138" spans="1:6" x14ac:dyDescent="0.25">
      <c r="A138">
        <v>137</v>
      </c>
      <c r="B138" t="s">
        <v>851</v>
      </c>
      <c r="C138" t="s">
        <v>850</v>
      </c>
      <c r="D138" t="s">
        <v>988</v>
      </c>
      <c r="E138" t="s">
        <v>989</v>
      </c>
      <c r="F138" t="s">
        <v>990</v>
      </c>
    </row>
    <row r="139" spans="1:6" x14ac:dyDescent="0.25">
      <c r="A139">
        <v>138</v>
      </c>
      <c r="B139" t="s">
        <v>882</v>
      </c>
      <c r="C139" t="s">
        <v>881</v>
      </c>
      <c r="D139" t="s">
        <v>988</v>
      </c>
      <c r="E139" t="s">
        <v>989</v>
      </c>
      <c r="F139" t="s">
        <v>990</v>
      </c>
    </row>
    <row r="140" spans="1:6" x14ac:dyDescent="0.25">
      <c r="A140">
        <v>139</v>
      </c>
      <c r="B140" t="s">
        <v>629</v>
      </c>
      <c r="C140" t="s">
        <v>628</v>
      </c>
      <c r="D140" t="s">
        <v>988</v>
      </c>
      <c r="E140" t="s">
        <v>989</v>
      </c>
      <c r="F140" t="s">
        <v>990</v>
      </c>
    </row>
    <row r="141" spans="1:6" x14ac:dyDescent="0.25">
      <c r="A141">
        <v>140</v>
      </c>
      <c r="B141" t="s">
        <v>86</v>
      </c>
      <c r="C141" t="s">
        <v>85</v>
      </c>
      <c r="D141" t="s">
        <v>988</v>
      </c>
      <c r="E141" t="s">
        <v>989</v>
      </c>
      <c r="F141" t="s">
        <v>990</v>
      </c>
    </row>
    <row r="142" spans="1:6" x14ac:dyDescent="0.25">
      <c r="A142">
        <v>141</v>
      </c>
      <c r="B142" t="s">
        <v>445</v>
      </c>
      <c r="C142" t="s">
        <v>444</v>
      </c>
      <c r="D142" t="s">
        <v>988</v>
      </c>
      <c r="E142" t="s">
        <v>989</v>
      </c>
      <c r="F142" t="s">
        <v>990</v>
      </c>
    </row>
    <row r="143" spans="1:6" x14ac:dyDescent="0.25">
      <c r="A143">
        <v>142</v>
      </c>
      <c r="B143" t="s">
        <v>268</v>
      </c>
      <c r="C143" t="s">
        <v>267</v>
      </c>
      <c r="D143" t="s">
        <v>988</v>
      </c>
      <c r="E143" t="s">
        <v>989</v>
      </c>
      <c r="F143" t="s">
        <v>990</v>
      </c>
    </row>
    <row r="144" spans="1:6" x14ac:dyDescent="0.25">
      <c r="A144">
        <v>143</v>
      </c>
      <c r="B144" t="s">
        <v>529</v>
      </c>
      <c r="C144" t="s">
        <v>528</v>
      </c>
      <c r="D144" t="s">
        <v>988</v>
      </c>
      <c r="E144" t="s">
        <v>989</v>
      </c>
      <c r="F144" t="s">
        <v>990</v>
      </c>
    </row>
    <row r="145" spans="1:6" x14ac:dyDescent="0.25">
      <c r="A145">
        <v>144</v>
      </c>
      <c r="B145" t="s">
        <v>106</v>
      </c>
      <c r="C145" t="s">
        <v>105</v>
      </c>
      <c r="D145" t="s">
        <v>988</v>
      </c>
      <c r="E145" t="s">
        <v>989</v>
      </c>
      <c r="F145" t="s">
        <v>990</v>
      </c>
    </row>
    <row r="146" spans="1:6" x14ac:dyDescent="0.25">
      <c r="A146">
        <v>145</v>
      </c>
      <c r="B146" t="s">
        <v>141</v>
      </c>
      <c r="C146" t="s">
        <v>140</v>
      </c>
      <c r="D146" t="s">
        <v>988</v>
      </c>
      <c r="E146" t="s">
        <v>989</v>
      </c>
      <c r="F146" t="s">
        <v>990</v>
      </c>
    </row>
    <row r="147" spans="1:6" x14ac:dyDescent="0.25">
      <c r="A147">
        <v>146</v>
      </c>
      <c r="B147" t="s">
        <v>359</v>
      </c>
      <c r="C147" t="s">
        <v>358</v>
      </c>
      <c r="D147" t="s">
        <v>988</v>
      </c>
      <c r="E147" t="s">
        <v>989</v>
      </c>
      <c r="F147" t="s">
        <v>990</v>
      </c>
    </row>
    <row r="148" spans="1:6" x14ac:dyDescent="0.25">
      <c r="A148">
        <v>147</v>
      </c>
      <c r="B148" t="s">
        <v>254</v>
      </c>
      <c r="C148" t="s">
        <v>253</v>
      </c>
      <c r="D148" t="s">
        <v>988</v>
      </c>
      <c r="E148" t="s">
        <v>989</v>
      </c>
      <c r="F148" t="s">
        <v>990</v>
      </c>
    </row>
    <row r="149" spans="1:6" x14ac:dyDescent="0.25">
      <c r="A149">
        <v>148</v>
      </c>
      <c r="B149" t="s">
        <v>791</v>
      </c>
      <c r="C149" t="s">
        <v>790</v>
      </c>
      <c r="D149" t="s">
        <v>988</v>
      </c>
      <c r="E149" t="s">
        <v>989</v>
      </c>
      <c r="F149" t="s">
        <v>990</v>
      </c>
    </row>
    <row r="150" spans="1:6" x14ac:dyDescent="0.25">
      <c r="A150">
        <v>149</v>
      </c>
      <c r="B150" t="s">
        <v>791</v>
      </c>
      <c r="C150" t="s">
        <v>883</v>
      </c>
      <c r="D150" t="s">
        <v>988</v>
      </c>
      <c r="E150" t="s">
        <v>989</v>
      </c>
      <c r="F150" t="s">
        <v>990</v>
      </c>
    </row>
    <row r="151" spans="1:6" x14ac:dyDescent="0.25">
      <c r="A151">
        <v>150</v>
      </c>
      <c r="B151" t="s">
        <v>727</v>
      </c>
      <c r="C151" t="s">
        <v>726</v>
      </c>
      <c r="D151" t="s">
        <v>988</v>
      </c>
      <c r="E151" t="s">
        <v>989</v>
      </c>
      <c r="F151" t="s">
        <v>990</v>
      </c>
    </row>
    <row r="152" spans="1:6" x14ac:dyDescent="0.25">
      <c r="A152">
        <v>151</v>
      </c>
      <c r="B152" t="s">
        <v>717</v>
      </c>
      <c r="C152" t="s">
        <v>716</v>
      </c>
      <c r="D152" t="s">
        <v>988</v>
      </c>
      <c r="E152" t="s">
        <v>989</v>
      </c>
      <c r="F152" t="s">
        <v>990</v>
      </c>
    </row>
    <row r="153" spans="1:6" x14ac:dyDescent="0.25">
      <c r="A153">
        <v>152</v>
      </c>
      <c r="B153" t="s">
        <v>271</v>
      </c>
      <c r="C153" t="s">
        <v>270</v>
      </c>
      <c r="D153" t="s">
        <v>988</v>
      </c>
      <c r="E153" t="s">
        <v>989</v>
      </c>
      <c r="F153" t="s">
        <v>990</v>
      </c>
    </row>
    <row r="154" spans="1:6" x14ac:dyDescent="0.25">
      <c r="A154">
        <v>153</v>
      </c>
      <c r="B154" t="s">
        <v>108</v>
      </c>
      <c r="C154" t="s">
        <v>107</v>
      </c>
      <c r="D154" t="s">
        <v>988</v>
      </c>
      <c r="E154" t="s">
        <v>989</v>
      </c>
      <c r="F154" t="s">
        <v>990</v>
      </c>
    </row>
    <row r="155" spans="1:6" x14ac:dyDescent="0.25">
      <c r="A155">
        <v>154</v>
      </c>
      <c r="B155" t="s">
        <v>110</v>
      </c>
      <c r="C155" t="s">
        <v>109</v>
      </c>
      <c r="D155" t="s">
        <v>988</v>
      </c>
      <c r="E155" t="s">
        <v>989</v>
      </c>
      <c r="F155" t="s">
        <v>990</v>
      </c>
    </row>
    <row r="156" spans="1:6" x14ac:dyDescent="0.25">
      <c r="A156">
        <v>155</v>
      </c>
      <c r="B156" t="s">
        <v>388</v>
      </c>
      <c r="C156" t="s">
        <v>387</v>
      </c>
      <c r="D156" t="s">
        <v>988</v>
      </c>
      <c r="E156" t="s">
        <v>989</v>
      </c>
      <c r="F156" t="s">
        <v>990</v>
      </c>
    </row>
    <row r="157" spans="1:6" x14ac:dyDescent="0.25">
      <c r="A157">
        <v>156</v>
      </c>
      <c r="B157" t="s">
        <v>897</v>
      </c>
      <c r="C157" t="s">
        <v>896</v>
      </c>
      <c r="D157" t="s">
        <v>988</v>
      </c>
      <c r="E157" t="s">
        <v>989</v>
      </c>
      <c r="F157" t="s">
        <v>990</v>
      </c>
    </row>
    <row r="158" spans="1:6" x14ac:dyDescent="0.25">
      <c r="A158">
        <v>157</v>
      </c>
      <c r="B158" t="s">
        <v>369</v>
      </c>
      <c r="C158" t="s">
        <v>368</v>
      </c>
      <c r="D158" t="s">
        <v>988</v>
      </c>
      <c r="E158" t="s">
        <v>989</v>
      </c>
      <c r="F158" t="s">
        <v>990</v>
      </c>
    </row>
    <row r="159" spans="1:6" x14ac:dyDescent="0.25">
      <c r="A159">
        <v>158</v>
      </c>
      <c r="B159" t="s">
        <v>700</v>
      </c>
      <c r="C159" t="s">
        <v>699</v>
      </c>
      <c r="D159" t="s">
        <v>988</v>
      </c>
      <c r="E159" t="s">
        <v>989</v>
      </c>
      <c r="F159" t="s">
        <v>990</v>
      </c>
    </row>
    <row r="160" spans="1:6" x14ac:dyDescent="0.25">
      <c r="A160">
        <v>159</v>
      </c>
      <c r="B160" t="s">
        <v>258</v>
      </c>
      <c r="C160" t="s">
        <v>257</v>
      </c>
      <c r="D160" t="s">
        <v>988</v>
      </c>
      <c r="E160" t="s">
        <v>989</v>
      </c>
      <c r="F160" t="s">
        <v>990</v>
      </c>
    </row>
    <row r="161" spans="1:6" x14ac:dyDescent="0.25">
      <c r="A161">
        <v>160</v>
      </c>
      <c r="B161" t="s">
        <v>38</v>
      </c>
      <c r="C161" t="s">
        <v>37</v>
      </c>
      <c r="D161" t="s">
        <v>988</v>
      </c>
      <c r="E161" t="s">
        <v>989</v>
      </c>
      <c r="F161" t="s">
        <v>990</v>
      </c>
    </row>
    <row r="162" spans="1:6" x14ac:dyDescent="0.25">
      <c r="A162">
        <v>161</v>
      </c>
      <c r="B162" t="s">
        <v>801</v>
      </c>
      <c r="C162" t="s">
        <v>800</v>
      </c>
      <c r="D162" t="s">
        <v>988</v>
      </c>
      <c r="E162" t="s">
        <v>989</v>
      </c>
      <c r="F162" t="s">
        <v>990</v>
      </c>
    </row>
    <row r="163" spans="1:6" x14ac:dyDescent="0.25">
      <c r="A163">
        <v>162</v>
      </c>
      <c r="B163" t="s">
        <v>627</v>
      </c>
      <c r="C163" t="s">
        <v>626</v>
      </c>
      <c r="D163" t="s">
        <v>988</v>
      </c>
      <c r="E163" t="s">
        <v>989</v>
      </c>
      <c r="F163" t="s">
        <v>990</v>
      </c>
    </row>
    <row r="164" spans="1:6" x14ac:dyDescent="0.25">
      <c r="A164">
        <v>163</v>
      </c>
      <c r="B164" t="s">
        <v>864</v>
      </c>
      <c r="C164" t="s">
        <v>863</v>
      </c>
      <c r="D164" t="s">
        <v>988</v>
      </c>
      <c r="E164" t="s">
        <v>989</v>
      </c>
      <c r="F164" t="s">
        <v>990</v>
      </c>
    </row>
    <row r="165" spans="1:6" x14ac:dyDescent="0.25">
      <c r="A165">
        <v>164</v>
      </c>
      <c r="B165" t="s">
        <v>179</v>
      </c>
      <c r="C165" t="s">
        <v>178</v>
      </c>
      <c r="D165" t="s">
        <v>988</v>
      </c>
      <c r="E165" t="s">
        <v>989</v>
      </c>
      <c r="F165" t="s">
        <v>990</v>
      </c>
    </row>
    <row r="166" spans="1:6" x14ac:dyDescent="0.25">
      <c r="A166">
        <v>165</v>
      </c>
      <c r="B166" t="s">
        <v>394</v>
      </c>
      <c r="C166" t="s">
        <v>393</v>
      </c>
      <c r="D166" t="s">
        <v>988</v>
      </c>
      <c r="E166" t="s">
        <v>989</v>
      </c>
      <c r="F166" t="s">
        <v>990</v>
      </c>
    </row>
    <row r="167" spans="1:6" x14ac:dyDescent="0.25">
      <c r="A167">
        <v>166</v>
      </c>
      <c r="B167" t="s">
        <v>171</v>
      </c>
      <c r="C167" t="s">
        <v>170</v>
      </c>
      <c r="D167" t="s">
        <v>988</v>
      </c>
      <c r="E167" t="s">
        <v>989</v>
      </c>
      <c r="F167" t="s">
        <v>990</v>
      </c>
    </row>
    <row r="168" spans="1:6" x14ac:dyDescent="0.25">
      <c r="A168">
        <v>167</v>
      </c>
      <c r="B168" t="s">
        <v>215</v>
      </c>
      <c r="C168" t="s">
        <v>214</v>
      </c>
      <c r="D168" t="s">
        <v>988</v>
      </c>
      <c r="E168" t="s">
        <v>989</v>
      </c>
      <c r="F168" t="s">
        <v>990</v>
      </c>
    </row>
    <row r="169" spans="1:6" x14ac:dyDescent="0.25">
      <c r="A169">
        <v>168</v>
      </c>
      <c r="B169" t="s">
        <v>281</v>
      </c>
      <c r="C169" t="s">
        <v>280</v>
      </c>
      <c r="D169" t="s">
        <v>988</v>
      </c>
      <c r="E169" t="s">
        <v>989</v>
      </c>
      <c r="F169" t="s">
        <v>990</v>
      </c>
    </row>
    <row r="170" spans="1:6" x14ac:dyDescent="0.25">
      <c r="A170">
        <v>169</v>
      </c>
      <c r="B170" t="s">
        <v>849</v>
      </c>
      <c r="C170" t="s">
        <v>848</v>
      </c>
      <c r="D170" t="s">
        <v>988</v>
      </c>
      <c r="E170" t="s">
        <v>989</v>
      </c>
      <c r="F170" t="s">
        <v>990</v>
      </c>
    </row>
    <row r="171" spans="1:6" x14ac:dyDescent="0.25">
      <c r="A171">
        <v>170</v>
      </c>
      <c r="B171" t="s">
        <v>749</v>
      </c>
      <c r="C171" t="s">
        <v>748</v>
      </c>
      <c r="D171" t="s">
        <v>988</v>
      </c>
      <c r="E171" t="s">
        <v>989</v>
      </c>
      <c r="F171" t="s">
        <v>990</v>
      </c>
    </row>
    <row r="172" spans="1:6" x14ac:dyDescent="0.25">
      <c r="A172">
        <v>171</v>
      </c>
      <c r="B172" t="s">
        <v>527</v>
      </c>
      <c r="C172" t="s">
        <v>526</v>
      </c>
      <c r="D172" t="s">
        <v>988</v>
      </c>
      <c r="E172" t="s">
        <v>989</v>
      </c>
      <c r="F172" t="s">
        <v>990</v>
      </c>
    </row>
    <row r="173" spans="1:6" x14ac:dyDescent="0.25">
      <c r="A173">
        <v>172</v>
      </c>
      <c r="B173" t="s">
        <v>94</v>
      </c>
      <c r="C173" t="s">
        <v>93</v>
      </c>
      <c r="D173" t="s">
        <v>988</v>
      </c>
      <c r="E173" t="s">
        <v>989</v>
      </c>
      <c r="F173" t="s">
        <v>990</v>
      </c>
    </row>
    <row r="174" spans="1:6" x14ac:dyDescent="0.25">
      <c r="A174">
        <v>173</v>
      </c>
      <c r="B174" t="s">
        <v>279</v>
      </c>
      <c r="C174" t="s">
        <v>278</v>
      </c>
      <c r="D174" t="s">
        <v>988</v>
      </c>
      <c r="E174" t="s">
        <v>989</v>
      </c>
      <c r="F174" t="s">
        <v>990</v>
      </c>
    </row>
    <row r="175" spans="1:6" x14ac:dyDescent="0.25">
      <c r="A175">
        <v>174</v>
      </c>
      <c r="B175" t="s">
        <v>283</v>
      </c>
      <c r="C175" t="s">
        <v>282</v>
      </c>
      <c r="D175" t="s">
        <v>988</v>
      </c>
      <c r="E175" t="s">
        <v>989</v>
      </c>
      <c r="F175" t="s">
        <v>990</v>
      </c>
    </row>
    <row r="176" spans="1:6" x14ac:dyDescent="0.25">
      <c r="A176">
        <v>175</v>
      </c>
      <c r="B176" t="s">
        <v>675</v>
      </c>
      <c r="C176" t="s">
        <v>674</v>
      </c>
      <c r="D176" t="s">
        <v>988</v>
      </c>
      <c r="E176" t="s">
        <v>989</v>
      </c>
      <c r="F176" t="s">
        <v>990</v>
      </c>
    </row>
    <row r="177" spans="1:6" x14ac:dyDescent="0.25">
      <c r="A177">
        <v>176</v>
      </c>
      <c r="B177" t="s">
        <v>824</v>
      </c>
      <c r="C177" t="s">
        <v>823</v>
      </c>
      <c r="D177" t="s">
        <v>988</v>
      </c>
      <c r="E177" t="s">
        <v>989</v>
      </c>
      <c r="F177" t="s">
        <v>990</v>
      </c>
    </row>
    <row r="178" spans="1:6" x14ac:dyDescent="0.25">
      <c r="A178">
        <v>177</v>
      </c>
      <c r="B178" t="s">
        <v>683</v>
      </c>
      <c r="C178" t="s">
        <v>682</v>
      </c>
      <c r="D178" t="s">
        <v>988</v>
      </c>
      <c r="E178" t="s">
        <v>989</v>
      </c>
      <c r="F178" t="s">
        <v>990</v>
      </c>
    </row>
    <row r="179" spans="1:6" x14ac:dyDescent="0.25">
      <c r="A179">
        <v>178</v>
      </c>
      <c r="B179" t="s">
        <v>671</v>
      </c>
      <c r="C179" t="s">
        <v>670</v>
      </c>
      <c r="D179" t="s">
        <v>988</v>
      </c>
      <c r="E179" t="s">
        <v>989</v>
      </c>
      <c r="F179" t="s">
        <v>990</v>
      </c>
    </row>
    <row r="180" spans="1:6" x14ac:dyDescent="0.25">
      <c r="A180">
        <v>179</v>
      </c>
      <c r="B180" t="s">
        <v>193</v>
      </c>
      <c r="C180" t="s">
        <v>192</v>
      </c>
      <c r="D180" t="s">
        <v>988</v>
      </c>
      <c r="E180" t="s">
        <v>989</v>
      </c>
      <c r="F180" t="s">
        <v>990</v>
      </c>
    </row>
    <row r="181" spans="1:6" x14ac:dyDescent="0.25">
      <c r="A181">
        <v>180</v>
      </c>
      <c r="B181" t="s">
        <v>306</v>
      </c>
      <c r="C181" t="s">
        <v>305</v>
      </c>
      <c r="D181" t="s">
        <v>988</v>
      </c>
      <c r="E181" t="s">
        <v>989</v>
      </c>
      <c r="F181" t="s">
        <v>990</v>
      </c>
    </row>
    <row r="182" spans="1:6" x14ac:dyDescent="0.25">
      <c r="A182">
        <v>181</v>
      </c>
      <c r="B182" t="s">
        <v>723</v>
      </c>
      <c r="C182" t="s">
        <v>722</v>
      </c>
      <c r="D182" t="s">
        <v>988</v>
      </c>
      <c r="E182" t="s">
        <v>989</v>
      </c>
      <c r="F182" t="s">
        <v>990</v>
      </c>
    </row>
    <row r="183" spans="1:6" x14ac:dyDescent="0.25">
      <c r="A183">
        <v>182</v>
      </c>
      <c r="B183" t="s">
        <v>641</v>
      </c>
      <c r="C183" t="s">
        <v>640</v>
      </c>
      <c r="D183" t="s">
        <v>988</v>
      </c>
      <c r="E183" t="s">
        <v>989</v>
      </c>
      <c r="F183" t="s">
        <v>990</v>
      </c>
    </row>
    <row r="184" spans="1:6" x14ac:dyDescent="0.25">
      <c r="A184">
        <v>183</v>
      </c>
      <c r="B184" t="s">
        <v>418</v>
      </c>
      <c r="C184" t="s">
        <v>417</v>
      </c>
      <c r="D184" t="s">
        <v>988</v>
      </c>
      <c r="E184" t="s">
        <v>989</v>
      </c>
      <c r="F184" t="s">
        <v>990</v>
      </c>
    </row>
    <row r="185" spans="1:6" x14ac:dyDescent="0.25">
      <c r="A185">
        <v>184</v>
      </c>
      <c r="B185" t="s">
        <v>651</v>
      </c>
      <c r="C185" t="s">
        <v>650</v>
      </c>
      <c r="D185" t="s">
        <v>988</v>
      </c>
      <c r="E185" t="s">
        <v>989</v>
      </c>
      <c r="F185" t="s">
        <v>990</v>
      </c>
    </row>
    <row r="186" spans="1:6" x14ac:dyDescent="0.25">
      <c r="A186">
        <v>185</v>
      </c>
      <c r="B186" t="s">
        <v>773</v>
      </c>
      <c r="C186" t="s">
        <v>772</v>
      </c>
      <c r="D186" t="s">
        <v>988</v>
      </c>
      <c r="E186" t="s">
        <v>989</v>
      </c>
      <c r="F186" t="s">
        <v>990</v>
      </c>
    </row>
    <row r="187" spans="1:6" x14ac:dyDescent="0.25">
      <c r="A187">
        <v>186</v>
      </c>
      <c r="B187" t="s">
        <v>639</v>
      </c>
      <c r="C187" t="s">
        <v>638</v>
      </c>
      <c r="D187" t="s">
        <v>988</v>
      </c>
      <c r="E187" t="s">
        <v>989</v>
      </c>
      <c r="F187" t="s">
        <v>990</v>
      </c>
    </row>
    <row r="188" spans="1:6" x14ac:dyDescent="0.25">
      <c r="A188">
        <v>187</v>
      </c>
      <c r="B188" t="s">
        <v>296</v>
      </c>
      <c r="C188" t="s">
        <v>295</v>
      </c>
      <c r="D188" t="s">
        <v>988</v>
      </c>
      <c r="E188" t="s">
        <v>989</v>
      </c>
      <c r="F188" t="s">
        <v>990</v>
      </c>
    </row>
    <row r="189" spans="1:6" x14ac:dyDescent="0.25">
      <c r="A189">
        <v>188</v>
      </c>
      <c r="B189" t="s">
        <v>907</v>
      </c>
      <c r="C189" t="s">
        <v>906</v>
      </c>
      <c r="D189" t="s">
        <v>988</v>
      </c>
      <c r="E189" t="s">
        <v>989</v>
      </c>
      <c r="F189" t="s">
        <v>990</v>
      </c>
    </row>
    <row r="190" spans="1:6" x14ac:dyDescent="0.25">
      <c r="A190">
        <v>189</v>
      </c>
      <c r="B190" t="s">
        <v>725</v>
      </c>
      <c r="C190" t="s">
        <v>724</v>
      </c>
      <c r="D190" t="s">
        <v>988</v>
      </c>
      <c r="E190" t="s">
        <v>989</v>
      </c>
      <c r="F190" t="s">
        <v>990</v>
      </c>
    </row>
    <row r="191" spans="1:6" x14ac:dyDescent="0.25">
      <c r="A191">
        <v>190</v>
      </c>
      <c r="B191" t="s">
        <v>777</v>
      </c>
      <c r="C191" t="s">
        <v>776</v>
      </c>
      <c r="D191" t="s">
        <v>988</v>
      </c>
      <c r="E191" t="s">
        <v>989</v>
      </c>
      <c r="F191" t="s">
        <v>990</v>
      </c>
    </row>
    <row r="192" spans="1:6" x14ac:dyDescent="0.25">
      <c r="A192">
        <v>191</v>
      </c>
      <c r="B192" t="s">
        <v>685</v>
      </c>
      <c r="C192" t="s">
        <v>684</v>
      </c>
      <c r="D192" t="s">
        <v>988</v>
      </c>
      <c r="E192" t="s">
        <v>989</v>
      </c>
      <c r="F192" t="s">
        <v>990</v>
      </c>
    </row>
    <row r="193" spans="1:6" x14ac:dyDescent="0.25">
      <c r="A193">
        <v>192</v>
      </c>
      <c r="B193" t="s">
        <v>308</v>
      </c>
      <c r="C193" t="s">
        <v>307</v>
      </c>
      <c r="D193" t="s">
        <v>988</v>
      </c>
      <c r="E193" t="s">
        <v>989</v>
      </c>
      <c r="F193" t="s">
        <v>990</v>
      </c>
    </row>
    <row r="194" spans="1:6" x14ac:dyDescent="0.25">
      <c r="A194">
        <v>193</v>
      </c>
      <c r="B194" t="s">
        <v>44</v>
      </c>
      <c r="C194" t="s">
        <v>43</v>
      </c>
      <c r="D194" t="s">
        <v>988</v>
      </c>
      <c r="E194" t="s">
        <v>989</v>
      </c>
      <c r="F194" t="s">
        <v>990</v>
      </c>
    </row>
    <row r="195" spans="1:6" x14ac:dyDescent="0.25">
      <c r="A195">
        <v>194</v>
      </c>
      <c r="B195" t="s">
        <v>745</v>
      </c>
      <c r="C195" t="s">
        <v>744</v>
      </c>
      <c r="D195" t="s">
        <v>988</v>
      </c>
      <c r="E195" t="s">
        <v>989</v>
      </c>
      <c r="F195" t="s">
        <v>990</v>
      </c>
    </row>
    <row r="196" spans="1:6" x14ac:dyDescent="0.25">
      <c r="A196">
        <v>195</v>
      </c>
      <c r="B196" t="s">
        <v>406</v>
      </c>
      <c r="C196" t="s">
        <v>405</v>
      </c>
      <c r="D196" t="s">
        <v>988</v>
      </c>
      <c r="E196" t="s">
        <v>989</v>
      </c>
      <c r="F196" t="s">
        <v>990</v>
      </c>
    </row>
    <row r="197" spans="1:6" x14ac:dyDescent="0.25">
      <c r="A197">
        <v>196</v>
      </c>
      <c r="B197" t="s">
        <v>298</v>
      </c>
      <c r="C197" t="s">
        <v>297</v>
      </c>
      <c r="D197" t="s">
        <v>988</v>
      </c>
      <c r="E197" t="s">
        <v>989</v>
      </c>
      <c r="F197" t="s">
        <v>990</v>
      </c>
    </row>
    <row r="198" spans="1:6" x14ac:dyDescent="0.25">
      <c r="A198">
        <v>197</v>
      </c>
      <c r="B198" t="s">
        <v>187</v>
      </c>
      <c r="C198" t="s">
        <v>186</v>
      </c>
      <c r="D198" t="s">
        <v>988</v>
      </c>
      <c r="E198" t="s">
        <v>989</v>
      </c>
      <c r="F198" t="s">
        <v>990</v>
      </c>
    </row>
    <row r="199" spans="1:6" x14ac:dyDescent="0.25">
      <c r="A199">
        <v>198</v>
      </c>
      <c r="B199" t="s">
        <v>631</v>
      </c>
      <c r="C199" t="s">
        <v>630</v>
      </c>
      <c r="D199" t="s">
        <v>988</v>
      </c>
      <c r="E199" t="s">
        <v>989</v>
      </c>
      <c r="F199" t="s">
        <v>990</v>
      </c>
    </row>
    <row r="200" spans="1:6" x14ac:dyDescent="0.25">
      <c r="A200">
        <v>199</v>
      </c>
      <c r="B200" t="s">
        <v>645</v>
      </c>
      <c r="C200" t="s">
        <v>644</v>
      </c>
      <c r="D200" t="s">
        <v>988</v>
      </c>
      <c r="E200" t="s">
        <v>989</v>
      </c>
      <c r="F200" t="s">
        <v>990</v>
      </c>
    </row>
    <row r="201" spans="1:6" x14ac:dyDescent="0.25">
      <c r="A201">
        <v>200</v>
      </c>
      <c r="B201" t="s">
        <v>205</v>
      </c>
      <c r="C201" t="s">
        <v>204</v>
      </c>
      <c r="D201" t="s">
        <v>988</v>
      </c>
      <c r="E201" t="s">
        <v>989</v>
      </c>
      <c r="F201" t="s">
        <v>990</v>
      </c>
    </row>
    <row r="202" spans="1:6" x14ac:dyDescent="0.25">
      <c r="A202">
        <v>201</v>
      </c>
      <c r="B202" t="s">
        <v>131</v>
      </c>
      <c r="C202" t="s">
        <v>130</v>
      </c>
      <c r="D202" t="s">
        <v>988</v>
      </c>
      <c r="E202" t="s">
        <v>989</v>
      </c>
      <c r="F202" t="s">
        <v>990</v>
      </c>
    </row>
    <row r="203" spans="1:6" x14ac:dyDescent="0.25">
      <c r="A203">
        <v>202</v>
      </c>
      <c r="B203" t="s">
        <v>300</v>
      </c>
      <c r="C203" t="s">
        <v>299</v>
      </c>
      <c r="D203" t="s">
        <v>988</v>
      </c>
      <c r="E203" t="s">
        <v>989</v>
      </c>
      <c r="F203" t="s">
        <v>990</v>
      </c>
    </row>
    <row r="204" spans="1:6" x14ac:dyDescent="0.25">
      <c r="A204">
        <v>203</v>
      </c>
      <c r="B204" t="s">
        <v>808</v>
      </c>
      <c r="C204" t="s">
        <v>807</v>
      </c>
      <c r="D204" t="s">
        <v>988</v>
      </c>
      <c r="E204" t="s">
        <v>989</v>
      </c>
      <c r="F204" t="s">
        <v>990</v>
      </c>
    </row>
    <row r="205" spans="1:6" x14ac:dyDescent="0.25">
      <c r="A205">
        <v>204</v>
      </c>
      <c r="B205" t="s">
        <v>169</v>
      </c>
      <c r="C205" t="s">
        <v>168</v>
      </c>
      <c r="D205" t="s">
        <v>988</v>
      </c>
      <c r="E205" t="s">
        <v>989</v>
      </c>
      <c r="F205" t="s">
        <v>990</v>
      </c>
    </row>
    <row r="206" spans="1:6" x14ac:dyDescent="0.25">
      <c r="A206">
        <v>205</v>
      </c>
      <c r="B206" t="s">
        <v>789</v>
      </c>
      <c r="C206" t="s">
        <v>788</v>
      </c>
      <c r="D206" t="s">
        <v>988</v>
      </c>
      <c r="E206" t="s">
        <v>989</v>
      </c>
      <c r="F206" t="s">
        <v>990</v>
      </c>
    </row>
    <row r="207" spans="1:6" x14ac:dyDescent="0.25">
      <c r="A207">
        <v>206</v>
      </c>
      <c r="B207" t="s">
        <v>781</v>
      </c>
      <c r="C207" t="s">
        <v>780</v>
      </c>
      <c r="D207" t="s">
        <v>988</v>
      </c>
      <c r="E207" t="s">
        <v>989</v>
      </c>
      <c r="F207" t="s">
        <v>990</v>
      </c>
    </row>
    <row r="208" spans="1:6" x14ac:dyDescent="0.25">
      <c r="A208">
        <v>207</v>
      </c>
      <c r="B208" t="s">
        <v>408</v>
      </c>
      <c r="C208" t="s">
        <v>407</v>
      </c>
      <c r="D208" t="s">
        <v>988</v>
      </c>
      <c r="E208" t="s">
        <v>989</v>
      </c>
      <c r="F208" t="s">
        <v>990</v>
      </c>
    </row>
    <row r="209" spans="1:6" x14ac:dyDescent="0.25">
      <c r="A209">
        <v>208</v>
      </c>
      <c r="B209" t="s">
        <v>112</v>
      </c>
      <c r="C209" t="s">
        <v>111</v>
      </c>
      <c r="D209" t="s">
        <v>988</v>
      </c>
      <c r="E209" t="s">
        <v>989</v>
      </c>
      <c r="F209" t="s">
        <v>990</v>
      </c>
    </row>
    <row r="210" spans="1:6" x14ac:dyDescent="0.25">
      <c r="A210">
        <v>209</v>
      </c>
      <c r="B210" t="s">
        <v>812</v>
      </c>
      <c r="C210" t="s">
        <v>811</v>
      </c>
      <c r="D210" t="s">
        <v>988</v>
      </c>
      <c r="E210" t="s">
        <v>989</v>
      </c>
      <c r="F210" t="s">
        <v>990</v>
      </c>
    </row>
    <row r="211" spans="1:6" x14ac:dyDescent="0.25">
      <c r="A211">
        <v>210</v>
      </c>
      <c r="B211" t="s">
        <v>747</v>
      </c>
      <c r="C211" t="s">
        <v>746</v>
      </c>
      <c r="D211" t="s">
        <v>988</v>
      </c>
      <c r="E211" t="s">
        <v>989</v>
      </c>
      <c r="F211" t="s">
        <v>990</v>
      </c>
    </row>
    <row r="212" spans="1:6" x14ac:dyDescent="0.25">
      <c r="A212">
        <v>211</v>
      </c>
      <c r="B212" t="s">
        <v>733</v>
      </c>
      <c r="C212" t="s">
        <v>732</v>
      </c>
      <c r="D212" t="s">
        <v>988</v>
      </c>
      <c r="E212" t="s">
        <v>989</v>
      </c>
      <c r="F212" t="s">
        <v>990</v>
      </c>
    </row>
    <row r="213" spans="1:6" x14ac:dyDescent="0.25">
      <c r="A213">
        <v>212</v>
      </c>
      <c r="B213" t="s">
        <v>691</v>
      </c>
      <c r="C213" t="s">
        <v>690</v>
      </c>
      <c r="D213" t="s">
        <v>988</v>
      </c>
      <c r="E213" t="s">
        <v>989</v>
      </c>
      <c r="F213" t="s">
        <v>990</v>
      </c>
    </row>
    <row r="214" spans="1:6" x14ac:dyDescent="0.25">
      <c r="A214">
        <v>213</v>
      </c>
      <c r="B214" t="s">
        <v>759</v>
      </c>
      <c r="C214" t="s">
        <v>758</v>
      </c>
      <c r="D214" t="s">
        <v>988</v>
      </c>
      <c r="E214" t="s">
        <v>989</v>
      </c>
      <c r="F214" t="s">
        <v>990</v>
      </c>
    </row>
    <row r="215" spans="1:6" x14ac:dyDescent="0.25">
      <c r="A215">
        <v>214</v>
      </c>
      <c r="B215" t="s">
        <v>42</v>
      </c>
      <c r="C215" t="s">
        <v>41</v>
      </c>
      <c r="D215" t="s">
        <v>988</v>
      </c>
      <c r="E215" t="s">
        <v>989</v>
      </c>
      <c r="F215" t="s">
        <v>990</v>
      </c>
    </row>
    <row r="216" spans="1:6" x14ac:dyDescent="0.25">
      <c r="A216">
        <v>215</v>
      </c>
      <c r="B216" t="s">
        <v>779</v>
      </c>
      <c r="C216" t="s">
        <v>778</v>
      </c>
      <c r="D216" t="s">
        <v>988</v>
      </c>
      <c r="E216" t="s">
        <v>989</v>
      </c>
      <c r="F216" t="s">
        <v>990</v>
      </c>
    </row>
    <row r="217" spans="1:6" x14ac:dyDescent="0.25">
      <c r="A217">
        <v>216</v>
      </c>
      <c r="B217" t="s">
        <v>414</v>
      </c>
      <c r="C217" t="s">
        <v>413</v>
      </c>
      <c r="D217" t="s">
        <v>988</v>
      </c>
      <c r="E217" t="s">
        <v>989</v>
      </c>
      <c r="F217" t="s">
        <v>990</v>
      </c>
    </row>
    <row r="218" spans="1:6" x14ac:dyDescent="0.25">
      <c r="A218">
        <v>217</v>
      </c>
      <c r="B218" t="s">
        <v>54</v>
      </c>
      <c r="C218" t="s">
        <v>53</v>
      </c>
      <c r="D218" t="s">
        <v>988</v>
      </c>
      <c r="E218" t="s">
        <v>989</v>
      </c>
      <c r="F218" t="s">
        <v>990</v>
      </c>
    </row>
    <row r="219" spans="1:6" x14ac:dyDescent="0.25">
      <c r="A219">
        <v>218</v>
      </c>
      <c r="B219" t="s">
        <v>504</v>
      </c>
      <c r="C219" t="s">
        <v>507</v>
      </c>
      <c r="D219" t="s">
        <v>988</v>
      </c>
      <c r="E219" t="s">
        <v>989</v>
      </c>
      <c r="F219" t="s">
        <v>990</v>
      </c>
    </row>
    <row r="220" spans="1:6" x14ac:dyDescent="0.25">
      <c r="A220">
        <v>219</v>
      </c>
      <c r="B220" t="s">
        <v>737</v>
      </c>
      <c r="C220" t="s">
        <v>736</v>
      </c>
      <c r="D220" t="s">
        <v>988</v>
      </c>
      <c r="E220" t="s">
        <v>989</v>
      </c>
      <c r="F220" t="s">
        <v>990</v>
      </c>
    </row>
    <row r="221" spans="1:6" x14ac:dyDescent="0.25">
      <c r="A221">
        <v>220</v>
      </c>
      <c r="B221" t="s">
        <v>822</v>
      </c>
      <c r="C221" t="s">
        <v>821</v>
      </c>
      <c r="D221" t="s">
        <v>988</v>
      </c>
      <c r="E221" t="s">
        <v>989</v>
      </c>
      <c r="F221" t="s">
        <v>990</v>
      </c>
    </row>
    <row r="222" spans="1:6" x14ac:dyDescent="0.25">
      <c r="A222">
        <v>221</v>
      </c>
      <c r="B222" t="s">
        <v>162</v>
      </c>
      <c r="C222" t="s">
        <v>165</v>
      </c>
      <c r="D222" t="s">
        <v>988</v>
      </c>
      <c r="E222" t="s">
        <v>989</v>
      </c>
      <c r="F222" t="s">
        <v>990</v>
      </c>
    </row>
    <row r="223" spans="1:6" x14ac:dyDescent="0.25">
      <c r="A223">
        <v>222</v>
      </c>
      <c r="B223" t="s">
        <v>213</v>
      </c>
      <c r="C223" t="s">
        <v>212</v>
      </c>
      <c r="D223" t="s">
        <v>988</v>
      </c>
      <c r="E223" t="s">
        <v>989</v>
      </c>
      <c r="F223" t="s">
        <v>990</v>
      </c>
    </row>
    <row r="224" spans="1:6" x14ac:dyDescent="0.25">
      <c r="A224">
        <v>223</v>
      </c>
      <c r="B224" t="s">
        <v>478</v>
      </c>
      <c r="C224" t="s">
        <v>477</v>
      </c>
      <c r="D224" t="s">
        <v>988</v>
      </c>
      <c r="E224" t="s">
        <v>989</v>
      </c>
      <c r="F224" t="s">
        <v>990</v>
      </c>
    </row>
    <row r="225" spans="1:6" x14ac:dyDescent="0.25">
      <c r="A225">
        <v>224</v>
      </c>
      <c r="B225" t="s">
        <v>795</v>
      </c>
      <c r="C225" t="s">
        <v>794</v>
      </c>
      <c r="D225" t="s">
        <v>988</v>
      </c>
      <c r="E225" t="s">
        <v>989</v>
      </c>
      <c r="F225" t="s">
        <v>990</v>
      </c>
    </row>
    <row r="226" spans="1:6" x14ac:dyDescent="0.25">
      <c r="A226">
        <v>225</v>
      </c>
      <c r="B226" t="s">
        <v>785</v>
      </c>
      <c r="C226" t="s">
        <v>784</v>
      </c>
      <c r="D226" t="s">
        <v>988</v>
      </c>
      <c r="E226" t="s">
        <v>989</v>
      </c>
      <c r="F226" t="s">
        <v>990</v>
      </c>
    </row>
    <row r="227" spans="1:6" x14ac:dyDescent="0.25">
      <c r="A227">
        <v>226</v>
      </c>
      <c r="B227" t="s">
        <v>441</v>
      </c>
      <c r="C227" t="s">
        <v>440</v>
      </c>
      <c r="D227" t="s">
        <v>988</v>
      </c>
      <c r="E227" t="s">
        <v>989</v>
      </c>
      <c r="F227" t="s">
        <v>990</v>
      </c>
    </row>
    <row r="228" spans="1:6" x14ac:dyDescent="0.25">
      <c r="A228">
        <v>227</v>
      </c>
      <c r="B228" t="s">
        <v>48</v>
      </c>
      <c r="C228" t="s">
        <v>47</v>
      </c>
      <c r="D228" t="s">
        <v>988</v>
      </c>
      <c r="E228" t="s">
        <v>989</v>
      </c>
      <c r="F228" t="s">
        <v>990</v>
      </c>
    </row>
    <row r="229" spans="1:6" x14ac:dyDescent="0.25">
      <c r="A229">
        <v>228</v>
      </c>
      <c r="B229" t="s">
        <v>185</v>
      </c>
      <c r="C229" t="s">
        <v>184</v>
      </c>
      <c r="D229" t="s">
        <v>988</v>
      </c>
      <c r="E229" t="s">
        <v>989</v>
      </c>
      <c r="F229" t="s">
        <v>990</v>
      </c>
    </row>
    <row r="230" spans="1:6" x14ac:dyDescent="0.25">
      <c r="A230">
        <v>229</v>
      </c>
      <c r="B230" t="s">
        <v>189</v>
      </c>
      <c r="C230" t="s">
        <v>188</v>
      </c>
      <c r="D230" t="s">
        <v>988</v>
      </c>
      <c r="E230" t="s">
        <v>989</v>
      </c>
      <c r="F230" t="s">
        <v>990</v>
      </c>
    </row>
    <row r="231" spans="1:6" x14ac:dyDescent="0.25">
      <c r="A231">
        <v>230</v>
      </c>
      <c r="B231" t="s">
        <v>810</v>
      </c>
      <c r="C231" t="s">
        <v>809</v>
      </c>
      <c r="D231" t="s">
        <v>988</v>
      </c>
      <c r="E231" t="s">
        <v>989</v>
      </c>
      <c r="F231" t="s">
        <v>990</v>
      </c>
    </row>
    <row r="232" spans="1:6" x14ac:dyDescent="0.25">
      <c r="A232">
        <v>231</v>
      </c>
      <c r="B232" t="s">
        <v>74</v>
      </c>
      <c r="C232" t="s">
        <v>843</v>
      </c>
      <c r="D232" t="s">
        <v>988</v>
      </c>
      <c r="E232" t="s">
        <v>989</v>
      </c>
      <c r="F232" t="s">
        <v>990</v>
      </c>
    </row>
    <row r="233" spans="1:6" x14ac:dyDescent="0.25">
      <c r="A233">
        <v>232</v>
      </c>
      <c r="B233" t="s">
        <v>72</v>
      </c>
      <c r="C233" t="s">
        <v>71</v>
      </c>
      <c r="D233" t="s">
        <v>988</v>
      </c>
      <c r="E233" t="s">
        <v>989</v>
      </c>
      <c r="F233" t="s">
        <v>990</v>
      </c>
    </row>
    <row r="234" spans="1:6" x14ac:dyDescent="0.25">
      <c r="A234">
        <v>233</v>
      </c>
      <c r="B234" t="s">
        <v>818</v>
      </c>
      <c r="C234" t="s">
        <v>817</v>
      </c>
      <c r="D234" t="s">
        <v>988</v>
      </c>
      <c r="E234" t="s">
        <v>989</v>
      </c>
      <c r="F234" t="s">
        <v>990</v>
      </c>
    </row>
    <row r="235" spans="1:6" x14ac:dyDescent="0.25">
      <c r="A235">
        <v>234</v>
      </c>
      <c r="B235" t="s">
        <v>318</v>
      </c>
      <c r="C235" t="s">
        <v>317</v>
      </c>
      <c r="D235" t="s">
        <v>988</v>
      </c>
      <c r="E235" t="s">
        <v>989</v>
      </c>
      <c r="F235" t="s">
        <v>990</v>
      </c>
    </row>
    <row r="236" spans="1:6" x14ac:dyDescent="0.25">
      <c r="A236">
        <v>235</v>
      </c>
      <c r="B236" t="s">
        <v>687</v>
      </c>
      <c r="C236" t="s">
        <v>686</v>
      </c>
      <c r="D236" t="s">
        <v>988</v>
      </c>
      <c r="E236" t="s">
        <v>989</v>
      </c>
      <c r="F236" t="s">
        <v>990</v>
      </c>
    </row>
    <row r="237" spans="1:6" x14ac:dyDescent="0.25">
      <c r="A237">
        <v>236</v>
      </c>
      <c r="B237" t="s">
        <v>50</v>
      </c>
      <c r="C237" t="s">
        <v>49</v>
      </c>
      <c r="D237" t="s">
        <v>988</v>
      </c>
      <c r="E237" t="s">
        <v>989</v>
      </c>
      <c r="F237" t="s">
        <v>990</v>
      </c>
    </row>
    <row r="238" spans="1:6" x14ac:dyDescent="0.25">
      <c r="A238">
        <v>237</v>
      </c>
      <c r="B238" t="s">
        <v>357</v>
      </c>
      <c r="C238" t="s">
        <v>356</v>
      </c>
      <c r="D238" t="s">
        <v>988</v>
      </c>
      <c r="E238" t="s">
        <v>989</v>
      </c>
      <c r="F238" t="s">
        <v>990</v>
      </c>
    </row>
    <row r="239" spans="1:6" x14ac:dyDescent="0.25">
      <c r="A239">
        <v>238</v>
      </c>
      <c r="B239" t="s">
        <v>4</v>
      </c>
      <c r="C239" t="s">
        <v>703</v>
      </c>
      <c r="D239" t="s">
        <v>988</v>
      </c>
      <c r="E239" t="s">
        <v>989</v>
      </c>
      <c r="F239" t="s">
        <v>990</v>
      </c>
    </row>
    <row r="240" spans="1:6" x14ac:dyDescent="0.25">
      <c r="A240">
        <v>239</v>
      </c>
      <c r="B240" t="s">
        <v>787</v>
      </c>
      <c r="C240" t="s">
        <v>786</v>
      </c>
      <c r="D240" t="s">
        <v>988</v>
      </c>
      <c r="E240" t="s">
        <v>989</v>
      </c>
      <c r="F240" t="s">
        <v>990</v>
      </c>
    </row>
    <row r="241" spans="1:6" x14ac:dyDescent="0.25">
      <c r="A241">
        <v>240</v>
      </c>
      <c r="B241" t="s">
        <v>853</v>
      </c>
      <c r="C241" t="s">
        <v>852</v>
      </c>
      <c r="D241" t="s">
        <v>988</v>
      </c>
      <c r="E241" t="s">
        <v>989</v>
      </c>
      <c r="F241" t="s">
        <v>990</v>
      </c>
    </row>
    <row r="242" spans="1:6" x14ac:dyDescent="0.25">
      <c r="A242">
        <v>241</v>
      </c>
      <c r="B242" t="s">
        <v>316</v>
      </c>
      <c r="C242" t="s">
        <v>315</v>
      </c>
      <c r="D242" t="s">
        <v>988</v>
      </c>
      <c r="E242" t="s">
        <v>989</v>
      </c>
      <c r="F242" t="s">
        <v>990</v>
      </c>
    </row>
    <row r="243" spans="1:6" x14ac:dyDescent="0.25">
      <c r="A243">
        <v>242</v>
      </c>
      <c r="B243" t="s">
        <v>649</v>
      </c>
      <c r="C243" t="s">
        <v>648</v>
      </c>
      <c r="D243" t="s">
        <v>988</v>
      </c>
      <c r="E243" t="s">
        <v>989</v>
      </c>
      <c r="F243" t="s">
        <v>990</v>
      </c>
    </row>
    <row r="244" spans="1:6" x14ac:dyDescent="0.25">
      <c r="A244">
        <v>243</v>
      </c>
      <c r="B244" t="s">
        <v>324</v>
      </c>
      <c r="C244" t="s">
        <v>323</v>
      </c>
      <c r="D244" t="s">
        <v>988</v>
      </c>
      <c r="E244" t="s">
        <v>989</v>
      </c>
      <c r="F244" t="s">
        <v>990</v>
      </c>
    </row>
    <row r="245" spans="1:6" x14ac:dyDescent="0.25">
      <c r="A245">
        <v>244</v>
      </c>
      <c r="B245" t="s">
        <v>52</v>
      </c>
      <c r="C245" t="s">
        <v>51</v>
      </c>
      <c r="D245" t="s">
        <v>988</v>
      </c>
      <c r="E245" t="s">
        <v>989</v>
      </c>
      <c r="F245" t="s">
        <v>990</v>
      </c>
    </row>
    <row r="246" spans="1:6" x14ac:dyDescent="0.25">
      <c r="A246">
        <v>245</v>
      </c>
      <c r="B246" t="s">
        <v>410</v>
      </c>
      <c r="C246" t="s">
        <v>409</v>
      </c>
      <c r="D246" t="s">
        <v>988</v>
      </c>
      <c r="E246" t="s">
        <v>989</v>
      </c>
      <c r="F246" t="s">
        <v>990</v>
      </c>
    </row>
    <row r="247" spans="1:6" x14ac:dyDescent="0.25">
      <c r="A247">
        <v>246</v>
      </c>
      <c r="B247" t="s">
        <v>412</v>
      </c>
      <c r="C247" t="s">
        <v>411</v>
      </c>
      <c r="D247" t="s">
        <v>988</v>
      </c>
      <c r="E247" t="s">
        <v>989</v>
      </c>
      <c r="F247" t="s">
        <v>990</v>
      </c>
    </row>
    <row r="248" spans="1:6" x14ac:dyDescent="0.25">
      <c r="A248">
        <v>247</v>
      </c>
      <c r="B248" t="s">
        <v>197</v>
      </c>
      <c r="C248" t="s">
        <v>196</v>
      </c>
      <c r="D248" t="s">
        <v>988</v>
      </c>
      <c r="E248" t="s">
        <v>989</v>
      </c>
      <c r="F248" t="s">
        <v>990</v>
      </c>
    </row>
    <row r="249" spans="1:6" x14ac:dyDescent="0.25">
      <c r="A249">
        <v>248</v>
      </c>
      <c r="B249" t="s">
        <v>46</v>
      </c>
      <c r="C249" t="s">
        <v>45</v>
      </c>
      <c r="D249" t="s">
        <v>988</v>
      </c>
      <c r="E249" t="s">
        <v>989</v>
      </c>
      <c r="F249" t="s">
        <v>990</v>
      </c>
    </row>
    <row r="250" spans="1:6" x14ac:dyDescent="0.25">
      <c r="A250">
        <v>249</v>
      </c>
      <c r="B250" t="s">
        <v>826</v>
      </c>
      <c r="C250" t="s">
        <v>825</v>
      </c>
      <c r="D250" t="s">
        <v>988</v>
      </c>
      <c r="E250" t="s">
        <v>989</v>
      </c>
      <c r="F250" t="s">
        <v>990</v>
      </c>
    </row>
    <row r="251" spans="1:6" x14ac:dyDescent="0.25">
      <c r="A251">
        <v>250</v>
      </c>
      <c r="B251" t="s">
        <v>506</v>
      </c>
      <c r="C251" t="s">
        <v>505</v>
      </c>
      <c r="D251" t="s">
        <v>988</v>
      </c>
      <c r="E251" t="s">
        <v>989</v>
      </c>
      <c r="F251" t="s">
        <v>990</v>
      </c>
    </row>
    <row r="252" spans="1:6" x14ac:dyDescent="0.25">
      <c r="A252">
        <v>251</v>
      </c>
      <c r="B252" t="s">
        <v>655</v>
      </c>
      <c r="C252" t="s">
        <v>654</v>
      </c>
      <c r="D252" t="s">
        <v>988</v>
      </c>
      <c r="E252" t="s">
        <v>989</v>
      </c>
      <c r="F252" t="s">
        <v>990</v>
      </c>
    </row>
    <row r="253" spans="1:6" x14ac:dyDescent="0.25">
      <c r="A253">
        <v>252</v>
      </c>
      <c r="B253" t="s">
        <v>903</v>
      </c>
      <c r="C253" t="s">
        <v>902</v>
      </c>
      <c r="D253" t="s">
        <v>988</v>
      </c>
      <c r="E253" t="s">
        <v>989</v>
      </c>
      <c r="F253" t="s">
        <v>990</v>
      </c>
    </row>
    <row r="254" spans="1:6" x14ac:dyDescent="0.25">
      <c r="A254">
        <v>253</v>
      </c>
      <c r="B254" t="s">
        <v>679</v>
      </c>
      <c r="C254" t="s">
        <v>678</v>
      </c>
      <c r="D254" t="s">
        <v>988</v>
      </c>
      <c r="E254" t="s">
        <v>989</v>
      </c>
      <c r="F254" t="s">
        <v>990</v>
      </c>
    </row>
    <row r="255" spans="1:6" x14ac:dyDescent="0.25">
      <c r="A255">
        <v>254</v>
      </c>
      <c r="B255" t="s">
        <v>177</v>
      </c>
      <c r="C255" t="s">
        <v>176</v>
      </c>
      <c r="D255" t="s">
        <v>988</v>
      </c>
      <c r="E255" t="s">
        <v>989</v>
      </c>
      <c r="F255" t="s">
        <v>990</v>
      </c>
    </row>
    <row r="256" spans="1:6" x14ac:dyDescent="0.25">
      <c r="A256">
        <v>255</v>
      </c>
      <c r="B256" t="s">
        <v>175</v>
      </c>
      <c r="C256" t="s">
        <v>174</v>
      </c>
      <c r="D256" t="s">
        <v>988</v>
      </c>
      <c r="E256" t="s">
        <v>989</v>
      </c>
      <c r="F256" t="s">
        <v>990</v>
      </c>
    </row>
    <row r="257" spans="1:6" x14ac:dyDescent="0.25">
      <c r="A257">
        <v>256</v>
      </c>
      <c r="B257" t="s">
        <v>755</v>
      </c>
      <c r="C257" t="s">
        <v>754</v>
      </c>
      <c r="D257" t="s">
        <v>988</v>
      </c>
      <c r="E257" t="s">
        <v>989</v>
      </c>
      <c r="F257" t="s">
        <v>990</v>
      </c>
    </row>
    <row r="258" spans="1:6" x14ac:dyDescent="0.25">
      <c r="A258">
        <v>257</v>
      </c>
      <c r="B258" t="s">
        <v>338</v>
      </c>
      <c r="C258" t="s">
        <v>337</v>
      </c>
      <c r="D258" t="s">
        <v>988</v>
      </c>
      <c r="E258" t="s">
        <v>989</v>
      </c>
      <c r="F258" t="s">
        <v>990</v>
      </c>
    </row>
    <row r="259" spans="1:6" x14ac:dyDescent="0.25">
      <c r="A259">
        <v>258</v>
      </c>
      <c r="B259" t="s">
        <v>56</v>
      </c>
      <c r="C259" t="s">
        <v>55</v>
      </c>
      <c r="D259" t="s">
        <v>988</v>
      </c>
      <c r="E259" t="s">
        <v>989</v>
      </c>
      <c r="F259" t="s">
        <v>990</v>
      </c>
    </row>
    <row r="260" spans="1:6" x14ac:dyDescent="0.25">
      <c r="A260">
        <v>259</v>
      </c>
      <c r="B260" t="s">
        <v>623</v>
      </c>
      <c r="C260" t="s">
        <v>622</v>
      </c>
      <c r="D260" t="s">
        <v>988</v>
      </c>
      <c r="E260" t="s">
        <v>989</v>
      </c>
      <c r="F260" t="s">
        <v>990</v>
      </c>
    </row>
    <row r="261" spans="1:6" x14ac:dyDescent="0.25">
      <c r="A261">
        <v>260</v>
      </c>
      <c r="B261" t="s">
        <v>761</v>
      </c>
      <c r="C261" t="s">
        <v>760</v>
      </c>
      <c r="D261" t="s">
        <v>988</v>
      </c>
      <c r="E261" t="s">
        <v>989</v>
      </c>
      <c r="F261" t="s">
        <v>990</v>
      </c>
    </row>
    <row r="262" spans="1:6" x14ac:dyDescent="0.25">
      <c r="A262">
        <v>261</v>
      </c>
      <c r="B262" t="s">
        <v>669</v>
      </c>
      <c r="C262" t="s">
        <v>668</v>
      </c>
      <c r="D262" t="s">
        <v>988</v>
      </c>
      <c r="E262" t="s">
        <v>989</v>
      </c>
      <c r="F262" t="s">
        <v>990</v>
      </c>
    </row>
    <row r="263" spans="1:6" x14ac:dyDescent="0.25">
      <c r="A263">
        <v>265</v>
      </c>
      <c r="B263" t="s">
        <v>495</v>
      </c>
      <c r="C263" t="s">
        <v>494</v>
      </c>
      <c r="D263" t="s">
        <v>988</v>
      </c>
      <c r="E263" t="s">
        <v>989</v>
      </c>
      <c r="F263" t="s">
        <v>990</v>
      </c>
    </row>
    <row r="264" spans="1:6" x14ac:dyDescent="0.25">
      <c r="A264">
        <v>266</v>
      </c>
      <c r="B264" t="s">
        <v>371</v>
      </c>
      <c r="C264" t="s">
        <v>370</v>
      </c>
      <c r="D264" t="s">
        <v>988</v>
      </c>
      <c r="E264" t="s">
        <v>989</v>
      </c>
      <c r="F264" t="s">
        <v>990</v>
      </c>
    </row>
    <row r="265" spans="1:6" x14ac:dyDescent="0.25">
      <c r="A265">
        <v>267</v>
      </c>
      <c r="B265" t="s">
        <v>351</v>
      </c>
      <c r="C265" t="s">
        <v>350</v>
      </c>
      <c r="D265" t="s">
        <v>988</v>
      </c>
      <c r="E265" t="s">
        <v>989</v>
      </c>
      <c r="F265" t="s">
        <v>990</v>
      </c>
    </row>
    <row r="266" spans="1:6" x14ac:dyDescent="0.25">
      <c r="A266">
        <v>268</v>
      </c>
      <c r="B266" t="s">
        <v>510</v>
      </c>
      <c r="C266" t="s">
        <v>0</v>
      </c>
      <c r="D266" t="s">
        <v>988</v>
      </c>
      <c r="E266" t="s">
        <v>989</v>
      </c>
      <c r="F266" t="s">
        <v>990</v>
      </c>
    </row>
    <row r="267" spans="1:6" x14ac:dyDescent="0.25">
      <c r="A267">
        <v>269</v>
      </c>
      <c r="B267" t="s">
        <v>340</v>
      </c>
      <c r="C267" t="s">
        <v>339</v>
      </c>
      <c r="D267" t="s">
        <v>988</v>
      </c>
      <c r="E267" t="s">
        <v>989</v>
      </c>
      <c r="F267" t="s">
        <v>990</v>
      </c>
    </row>
    <row r="268" spans="1:6" x14ac:dyDescent="0.25">
      <c r="A268">
        <v>270</v>
      </c>
      <c r="B268" t="s">
        <v>447</v>
      </c>
      <c r="C268" t="s">
        <v>446</v>
      </c>
      <c r="D268" t="s">
        <v>988</v>
      </c>
      <c r="E268" t="s">
        <v>989</v>
      </c>
      <c r="F268" t="s">
        <v>990</v>
      </c>
    </row>
    <row r="269" spans="1:6" x14ac:dyDescent="0.25">
      <c r="A269">
        <v>271</v>
      </c>
      <c r="B269" t="s">
        <v>439</v>
      </c>
      <c r="C269" t="s">
        <v>438</v>
      </c>
      <c r="D269" t="s">
        <v>988</v>
      </c>
      <c r="E269" t="s">
        <v>989</v>
      </c>
      <c r="F269" t="s">
        <v>990</v>
      </c>
    </row>
    <row r="270" spans="1:6" x14ac:dyDescent="0.25">
      <c r="A270">
        <v>272</v>
      </c>
      <c r="B270" t="s">
        <v>501</v>
      </c>
      <c r="C270" t="s">
        <v>500</v>
      </c>
      <c r="D270" t="s">
        <v>988</v>
      </c>
      <c r="E270" t="s">
        <v>989</v>
      </c>
      <c r="F270" t="s">
        <v>990</v>
      </c>
    </row>
    <row r="271" spans="1:6" x14ac:dyDescent="0.25">
      <c r="A271">
        <v>273</v>
      </c>
      <c r="B271" t="s">
        <v>76</v>
      </c>
      <c r="C271" t="s">
        <v>75</v>
      </c>
      <c r="D271" t="s">
        <v>988</v>
      </c>
      <c r="E271" t="s">
        <v>989</v>
      </c>
      <c r="F271" t="s">
        <v>990</v>
      </c>
    </row>
    <row r="272" spans="1:6" x14ac:dyDescent="0.25">
      <c r="A272">
        <v>274</v>
      </c>
      <c r="B272" t="s">
        <v>533</v>
      </c>
      <c r="C272" t="s">
        <v>532</v>
      </c>
      <c r="D272" t="s">
        <v>988</v>
      </c>
      <c r="E272" t="s">
        <v>989</v>
      </c>
      <c r="F272" t="s">
        <v>990</v>
      </c>
    </row>
    <row r="273" spans="1:6" x14ac:dyDescent="0.25">
      <c r="A273">
        <v>275</v>
      </c>
      <c r="B273" t="s">
        <v>78</v>
      </c>
      <c r="C273" t="s">
        <v>77</v>
      </c>
      <c r="D273" t="s">
        <v>988</v>
      </c>
      <c r="E273" t="s">
        <v>989</v>
      </c>
      <c r="F273" t="s">
        <v>990</v>
      </c>
    </row>
    <row r="274" spans="1:6" x14ac:dyDescent="0.25">
      <c r="A274">
        <v>276</v>
      </c>
      <c r="B274" t="s">
        <v>621</v>
      </c>
      <c r="C274" t="s">
        <v>620</v>
      </c>
      <c r="D274" t="s">
        <v>988</v>
      </c>
      <c r="E274" t="s">
        <v>989</v>
      </c>
      <c r="F274" t="s">
        <v>990</v>
      </c>
    </row>
    <row r="275" spans="1:6" x14ac:dyDescent="0.25">
      <c r="A275">
        <v>277</v>
      </c>
      <c r="B275" t="s">
        <v>367</v>
      </c>
      <c r="C275" t="s">
        <v>366</v>
      </c>
      <c r="D275" t="s">
        <v>988</v>
      </c>
      <c r="E275" t="s">
        <v>989</v>
      </c>
      <c r="F275" t="s">
        <v>990</v>
      </c>
    </row>
    <row r="276" spans="1:6" x14ac:dyDescent="0.25">
      <c r="A276">
        <v>278</v>
      </c>
      <c r="B276" t="s">
        <v>836</v>
      </c>
      <c r="C276" t="s">
        <v>835</v>
      </c>
      <c r="D276" t="s">
        <v>988</v>
      </c>
      <c r="E276" t="s">
        <v>989</v>
      </c>
      <c r="F276" t="s">
        <v>990</v>
      </c>
    </row>
    <row r="277" spans="1:6" x14ac:dyDescent="0.25">
      <c r="A277">
        <v>279</v>
      </c>
      <c r="B277" t="s">
        <v>421</v>
      </c>
      <c r="C277" t="s">
        <v>437</v>
      </c>
      <c r="D277" t="s">
        <v>988</v>
      </c>
      <c r="E277" t="s">
        <v>989</v>
      </c>
      <c r="F277" t="s">
        <v>990</v>
      </c>
    </row>
    <row r="278" spans="1:6" x14ac:dyDescent="0.25">
      <c r="A278">
        <v>280</v>
      </c>
      <c r="B278" t="s">
        <v>330</v>
      </c>
      <c r="C278" t="s">
        <v>349</v>
      </c>
      <c r="D278" t="s">
        <v>988</v>
      </c>
      <c r="E278" t="s">
        <v>989</v>
      </c>
      <c r="F278" t="s">
        <v>990</v>
      </c>
    </row>
    <row r="279" spans="1:6" x14ac:dyDescent="0.25">
      <c r="A279">
        <v>281</v>
      </c>
      <c r="B279" t="s">
        <v>832</v>
      </c>
      <c r="C279" t="s">
        <v>831</v>
      </c>
      <c r="D279" t="s">
        <v>988</v>
      </c>
      <c r="E279" t="s">
        <v>989</v>
      </c>
      <c r="F279" t="s">
        <v>990</v>
      </c>
    </row>
    <row r="280" spans="1:6" x14ac:dyDescent="0.25">
      <c r="A280">
        <v>282</v>
      </c>
      <c r="B280" t="s">
        <v>834</v>
      </c>
      <c r="C280" t="s">
        <v>833</v>
      </c>
      <c r="D280" t="s">
        <v>988</v>
      </c>
      <c r="E280" t="s">
        <v>989</v>
      </c>
      <c r="F280" t="s">
        <v>990</v>
      </c>
    </row>
    <row r="281" spans="1:6" x14ac:dyDescent="0.25">
      <c r="A281">
        <v>283</v>
      </c>
      <c r="B281" t="s">
        <v>191</v>
      </c>
      <c r="C281" t="s">
        <v>190</v>
      </c>
      <c r="D281" t="s">
        <v>988</v>
      </c>
      <c r="E281" t="s">
        <v>989</v>
      </c>
      <c r="F281" t="s">
        <v>990</v>
      </c>
    </row>
    <row r="282" spans="1:6" x14ac:dyDescent="0.25">
      <c r="A282">
        <v>284</v>
      </c>
      <c r="B282" t="s">
        <v>521</v>
      </c>
      <c r="C282" t="s">
        <v>520</v>
      </c>
      <c r="D282" t="s">
        <v>988</v>
      </c>
      <c r="E282" t="s">
        <v>989</v>
      </c>
      <c r="F282" t="s">
        <v>990</v>
      </c>
    </row>
    <row r="283" spans="1:6" x14ac:dyDescent="0.25">
      <c r="A283">
        <v>285</v>
      </c>
      <c r="B283" t="s">
        <v>66</v>
      </c>
      <c r="C283" t="s">
        <v>65</v>
      </c>
      <c r="D283" t="s">
        <v>988</v>
      </c>
      <c r="E283" t="s">
        <v>989</v>
      </c>
      <c r="F283" t="s">
        <v>990</v>
      </c>
    </row>
    <row r="284" spans="1:6" x14ac:dyDescent="0.25">
      <c r="A284">
        <v>286</v>
      </c>
      <c r="B284" t="s">
        <v>454</v>
      </c>
      <c r="C284" t="s">
        <v>453</v>
      </c>
      <c r="D284" t="s">
        <v>988</v>
      </c>
      <c r="E284" t="s">
        <v>991</v>
      </c>
      <c r="F284" t="s">
        <v>992</v>
      </c>
    </row>
    <row r="285" spans="1:6" x14ac:dyDescent="0.25">
      <c r="A285">
        <v>287</v>
      </c>
      <c r="B285" t="s">
        <v>96</v>
      </c>
      <c r="C285" t="s">
        <v>95</v>
      </c>
      <c r="D285" t="s">
        <v>988</v>
      </c>
      <c r="E285" t="s">
        <v>989</v>
      </c>
      <c r="F285" t="s">
        <v>990</v>
      </c>
    </row>
    <row r="286" spans="1:6" x14ac:dyDescent="0.25">
      <c r="A286">
        <v>288</v>
      </c>
      <c r="B286" t="s">
        <v>449</v>
      </c>
      <c r="C286" t="s">
        <v>448</v>
      </c>
      <c r="D286" t="s">
        <v>988</v>
      </c>
      <c r="E286" t="s">
        <v>989</v>
      </c>
      <c r="F286" t="s">
        <v>990</v>
      </c>
    </row>
    <row r="287" spans="1:6" x14ac:dyDescent="0.25">
      <c r="A287">
        <v>289</v>
      </c>
      <c r="B287" t="s">
        <v>398</v>
      </c>
      <c r="C287" t="s">
        <v>397</v>
      </c>
      <c r="D287" t="s">
        <v>988</v>
      </c>
      <c r="E287" t="s">
        <v>989</v>
      </c>
      <c r="F287" t="s">
        <v>990</v>
      </c>
    </row>
    <row r="288" spans="1:6" x14ac:dyDescent="0.25">
      <c r="A288">
        <v>290</v>
      </c>
      <c r="B288" t="s">
        <v>891</v>
      </c>
      <c r="C288" t="s">
        <v>890</v>
      </c>
      <c r="D288" t="s">
        <v>988</v>
      </c>
      <c r="E288" t="s">
        <v>989</v>
      </c>
      <c r="F288" t="s">
        <v>990</v>
      </c>
    </row>
    <row r="289" spans="1:6" x14ac:dyDescent="0.25">
      <c r="A289">
        <v>291</v>
      </c>
      <c r="B289" t="s">
        <v>114</v>
      </c>
      <c r="C289" t="s">
        <v>113</v>
      </c>
      <c r="D289" t="s">
        <v>988</v>
      </c>
      <c r="E289" t="s">
        <v>989</v>
      </c>
      <c r="F289" t="s">
        <v>990</v>
      </c>
    </row>
    <row r="290" spans="1:6" x14ac:dyDescent="0.25">
      <c r="A290">
        <v>292</v>
      </c>
      <c r="B290" t="s">
        <v>74</v>
      </c>
      <c r="C290" t="s">
        <v>73</v>
      </c>
      <c r="D290" t="s">
        <v>988</v>
      </c>
      <c r="E290" t="s">
        <v>989</v>
      </c>
      <c r="F290" t="s">
        <v>990</v>
      </c>
    </row>
    <row r="291" spans="1:6" x14ac:dyDescent="0.25">
      <c r="A291">
        <v>293</v>
      </c>
      <c r="B291" t="s">
        <v>855</v>
      </c>
      <c r="C291" t="s">
        <v>854</v>
      </c>
      <c r="D291" t="s">
        <v>988</v>
      </c>
      <c r="E291" t="s">
        <v>989</v>
      </c>
      <c r="F291" t="s">
        <v>990</v>
      </c>
    </row>
    <row r="292" spans="1:6" x14ac:dyDescent="0.25">
      <c r="A292">
        <v>294</v>
      </c>
      <c r="B292" t="s">
        <v>828</v>
      </c>
      <c r="C292" t="s">
        <v>827</v>
      </c>
      <c r="D292" t="s">
        <v>988</v>
      </c>
      <c r="E292" t="s">
        <v>989</v>
      </c>
      <c r="F292" t="s">
        <v>990</v>
      </c>
    </row>
    <row r="293" spans="1:6" x14ac:dyDescent="0.25">
      <c r="A293">
        <v>295</v>
      </c>
      <c r="B293" t="s">
        <v>429</v>
      </c>
      <c r="C293" t="s">
        <v>428</v>
      </c>
      <c r="D293" t="s">
        <v>988</v>
      </c>
      <c r="E293" t="s">
        <v>989</v>
      </c>
      <c r="F293" t="s">
        <v>990</v>
      </c>
    </row>
    <row r="294" spans="1:6" x14ac:dyDescent="0.25">
      <c r="A294">
        <v>296</v>
      </c>
      <c r="B294" t="s">
        <v>328</v>
      </c>
      <c r="C294" t="s">
        <v>327</v>
      </c>
      <c r="D294" t="s">
        <v>988</v>
      </c>
      <c r="E294" t="s">
        <v>989</v>
      </c>
      <c r="F294" t="s">
        <v>990</v>
      </c>
    </row>
    <row r="295" spans="1:6" x14ac:dyDescent="0.25">
      <c r="A295">
        <v>297</v>
      </c>
      <c r="B295" t="s">
        <v>236</v>
      </c>
      <c r="C295" t="s">
        <v>235</v>
      </c>
      <c r="D295" t="s">
        <v>988</v>
      </c>
      <c r="E295" t="s">
        <v>989</v>
      </c>
      <c r="F295" t="s">
        <v>990</v>
      </c>
    </row>
    <row r="296" spans="1:6" x14ac:dyDescent="0.25">
      <c r="A296">
        <v>298</v>
      </c>
      <c r="B296" t="s">
        <v>40</v>
      </c>
      <c r="C296" t="s">
        <v>39</v>
      </c>
      <c r="D296" t="s">
        <v>988</v>
      </c>
      <c r="E296" t="s">
        <v>989</v>
      </c>
      <c r="F296" t="s">
        <v>990</v>
      </c>
    </row>
    <row r="297" spans="1:6" x14ac:dyDescent="0.25">
      <c r="A297">
        <v>299</v>
      </c>
      <c r="B297" t="s">
        <v>217</v>
      </c>
      <c r="C297" t="s">
        <v>216</v>
      </c>
      <c r="D297" t="s">
        <v>988</v>
      </c>
      <c r="E297" t="s">
        <v>989</v>
      </c>
      <c r="F297" t="s">
        <v>990</v>
      </c>
    </row>
    <row r="298" spans="1:6" x14ac:dyDescent="0.25">
      <c r="A298">
        <v>300</v>
      </c>
      <c r="B298" t="s">
        <v>58</v>
      </c>
      <c r="C298" t="s">
        <v>57</v>
      </c>
      <c r="D298" t="s">
        <v>988</v>
      </c>
      <c r="E298" t="s">
        <v>989</v>
      </c>
      <c r="F298" t="s">
        <v>990</v>
      </c>
    </row>
    <row r="299" spans="1:6" x14ac:dyDescent="0.25">
      <c r="A299">
        <v>301</v>
      </c>
      <c r="B299" t="s">
        <v>484</v>
      </c>
      <c r="C299" t="s">
        <v>483</v>
      </c>
      <c r="D299" t="s">
        <v>988</v>
      </c>
      <c r="E299" t="s">
        <v>989</v>
      </c>
      <c r="F299" t="s">
        <v>990</v>
      </c>
    </row>
    <row r="300" spans="1:6" x14ac:dyDescent="0.25">
      <c r="A300">
        <v>302</v>
      </c>
      <c r="B300" t="s">
        <v>911</v>
      </c>
      <c r="C300" t="s">
        <v>910</v>
      </c>
      <c r="D300" t="s">
        <v>988</v>
      </c>
      <c r="E300" t="s">
        <v>989</v>
      </c>
      <c r="F300" t="s">
        <v>990</v>
      </c>
    </row>
    <row r="301" spans="1:6" x14ac:dyDescent="0.25">
      <c r="A301">
        <v>303</v>
      </c>
      <c r="B301" t="s">
        <v>913</v>
      </c>
      <c r="C301" t="s">
        <v>912</v>
      </c>
      <c r="D301" t="s">
        <v>988</v>
      </c>
      <c r="E301" t="s">
        <v>989</v>
      </c>
      <c r="F301" t="s">
        <v>990</v>
      </c>
    </row>
    <row r="302" spans="1:6" x14ac:dyDescent="0.25">
      <c r="A302">
        <v>304</v>
      </c>
      <c r="B302" t="s">
        <v>219</v>
      </c>
      <c r="C302" t="s">
        <v>218</v>
      </c>
      <c r="D302" t="s">
        <v>988</v>
      </c>
      <c r="E302" t="s">
        <v>989</v>
      </c>
      <c r="F302" t="s">
        <v>990</v>
      </c>
    </row>
    <row r="303" spans="1:6" x14ac:dyDescent="0.25">
      <c r="A303">
        <v>305</v>
      </c>
      <c r="B303" t="s">
        <v>273</v>
      </c>
      <c r="C303" t="s">
        <v>272</v>
      </c>
      <c r="D303" t="s">
        <v>988</v>
      </c>
      <c r="E303" t="s">
        <v>989</v>
      </c>
      <c r="F303" t="s">
        <v>990</v>
      </c>
    </row>
    <row r="304" spans="1:6" x14ac:dyDescent="0.25">
      <c r="A304">
        <v>306</v>
      </c>
      <c r="B304" t="s">
        <v>915</v>
      </c>
      <c r="C304" t="s">
        <v>914</v>
      </c>
      <c r="D304" t="s">
        <v>988</v>
      </c>
      <c r="E304" t="s">
        <v>989</v>
      </c>
      <c r="F304" t="s">
        <v>990</v>
      </c>
    </row>
    <row r="305" spans="1:6" x14ac:dyDescent="0.25">
      <c r="A305">
        <v>307</v>
      </c>
      <c r="B305" t="s">
        <v>332</v>
      </c>
      <c r="C305" t="s">
        <v>331</v>
      </c>
      <c r="D305" t="s">
        <v>988</v>
      </c>
      <c r="E305" t="s">
        <v>989</v>
      </c>
      <c r="F305" t="s">
        <v>990</v>
      </c>
    </row>
    <row r="306" spans="1:6" x14ac:dyDescent="0.25">
      <c r="A306">
        <v>308</v>
      </c>
      <c r="B306" t="s">
        <v>451</v>
      </c>
      <c r="C306" t="s">
        <v>450</v>
      </c>
      <c r="D306" t="s">
        <v>988</v>
      </c>
      <c r="E306" t="s">
        <v>989</v>
      </c>
      <c r="F306" t="s">
        <v>990</v>
      </c>
    </row>
    <row r="307" spans="1:6" x14ac:dyDescent="0.25">
      <c r="A307">
        <v>309</v>
      </c>
      <c r="B307" t="s">
        <v>917</v>
      </c>
      <c r="C307" t="s">
        <v>916</v>
      </c>
      <c r="D307" t="s">
        <v>988</v>
      </c>
      <c r="E307" t="s">
        <v>989</v>
      </c>
      <c r="F307" t="s">
        <v>990</v>
      </c>
    </row>
    <row r="308" spans="1:6" x14ac:dyDescent="0.25">
      <c r="A308">
        <v>310</v>
      </c>
      <c r="B308" t="s">
        <v>874</v>
      </c>
      <c r="C308" t="s">
        <v>873</v>
      </c>
      <c r="D308" t="s">
        <v>988</v>
      </c>
      <c r="E308" t="s">
        <v>989</v>
      </c>
      <c r="F308" t="s">
        <v>990</v>
      </c>
    </row>
    <row r="309" spans="1:6" x14ac:dyDescent="0.25">
      <c r="A309">
        <v>311</v>
      </c>
      <c r="B309" t="s">
        <v>840</v>
      </c>
      <c r="C309" t="s">
        <v>839</v>
      </c>
      <c r="D309" t="s">
        <v>988</v>
      </c>
      <c r="E309" t="s">
        <v>991</v>
      </c>
      <c r="F309" t="s">
        <v>992</v>
      </c>
    </row>
    <row r="310" spans="1:6" x14ac:dyDescent="0.25">
      <c r="A310">
        <v>312</v>
      </c>
      <c r="B310" t="s">
        <v>693</v>
      </c>
      <c r="C310" t="s">
        <v>692</v>
      </c>
      <c r="D310" t="s">
        <v>988</v>
      </c>
      <c r="E310" t="s">
        <v>991</v>
      </c>
      <c r="F310" t="s">
        <v>992</v>
      </c>
    </row>
    <row r="311" spans="1:6" x14ac:dyDescent="0.25">
      <c r="A311">
        <v>313</v>
      </c>
      <c r="B311" t="s">
        <v>820</v>
      </c>
      <c r="C311" t="s">
        <v>819</v>
      </c>
      <c r="D311" t="s">
        <v>988</v>
      </c>
      <c r="E311" t="s">
        <v>991</v>
      </c>
      <c r="F311" t="s">
        <v>992</v>
      </c>
    </row>
    <row r="312" spans="1:6" x14ac:dyDescent="0.25">
      <c r="A312">
        <v>314</v>
      </c>
      <c r="B312" t="s">
        <v>775</v>
      </c>
      <c r="C312" t="s">
        <v>774</v>
      </c>
      <c r="D312" t="s">
        <v>988</v>
      </c>
      <c r="E312" t="s">
        <v>991</v>
      </c>
      <c r="F312" t="s">
        <v>992</v>
      </c>
    </row>
    <row r="313" spans="1:6" x14ac:dyDescent="0.25">
      <c r="A313">
        <v>315</v>
      </c>
      <c r="B313" t="s">
        <v>769</v>
      </c>
      <c r="C313" t="s">
        <v>768</v>
      </c>
      <c r="D313" t="s">
        <v>988</v>
      </c>
      <c r="E313" t="s">
        <v>989</v>
      </c>
      <c r="F313" t="s">
        <v>990</v>
      </c>
    </row>
    <row r="314" spans="1:6" x14ac:dyDescent="0.25">
      <c r="A314">
        <v>316</v>
      </c>
      <c r="B314" t="s">
        <v>893</v>
      </c>
      <c r="C314" t="s">
        <v>892</v>
      </c>
      <c r="D314" t="s">
        <v>988</v>
      </c>
      <c r="E314" t="s">
        <v>991</v>
      </c>
      <c r="F314" t="s">
        <v>992</v>
      </c>
    </row>
    <row r="315" spans="1:6" x14ac:dyDescent="0.25">
      <c r="A315">
        <v>317</v>
      </c>
      <c r="B315" t="s">
        <v>765</v>
      </c>
      <c r="C315" t="s">
        <v>764</v>
      </c>
      <c r="D315" t="s">
        <v>988</v>
      </c>
      <c r="E315" t="s">
        <v>991</v>
      </c>
      <c r="F315" t="s">
        <v>992</v>
      </c>
    </row>
    <row r="316" spans="1:6" x14ac:dyDescent="0.25">
      <c r="A316">
        <v>318</v>
      </c>
      <c r="B316" t="s">
        <v>767</v>
      </c>
      <c r="C316" t="s">
        <v>766</v>
      </c>
      <c r="D316" t="s">
        <v>988</v>
      </c>
      <c r="E316" t="s">
        <v>991</v>
      </c>
      <c r="F316" t="s">
        <v>992</v>
      </c>
    </row>
    <row r="317" spans="1:6" x14ac:dyDescent="0.25">
      <c r="A317">
        <v>319</v>
      </c>
      <c r="B317" t="s">
        <v>909</v>
      </c>
      <c r="C317" t="s">
        <v>908</v>
      </c>
      <c r="D317" t="s">
        <v>988</v>
      </c>
      <c r="E317" t="s">
        <v>991</v>
      </c>
      <c r="F317" t="s">
        <v>992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CF8DC-A3D9-4023-A03F-E316F2C0ECB2}">
  <dimension ref="A1:G366"/>
  <sheetViews>
    <sheetView workbookViewId="0">
      <selection activeCell="N27" sqref="N27"/>
    </sheetView>
  </sheetViews>
  <sheetFormatPr defaultRowHeight="15" x14ac:dyDescent="0.25"/>
  <cols>
    <col min="1" max="1" width="6.42578125" bestFit="1" customWidth="1"/>
    <col min="2" max="2" width="9.42578125" bestFit="1" customWidth="1"/>
    <col min="3" max="3" width="14.140625" bestFit="1" customWidth="1"/>
    <col min="4" max="4" width="12.7109375" customWidth="1"/>
    <col min="5" max="5" width="40.85546875" customWidth="1"/>
    <col min="6" max="6" width="30.140625" bestFit="1" customWidth="1"/>
    <col min="7" max="7" width="29.85546875" bestFit="1" customWidth="1"/>
  </cols>
  <sheetData>
    <row r="1" spans="1:7" x14ac:dyDescent="0.25">
      <c r="A1" t="s">
        <v>614</v>
      </c>
      <c r="B1" t="s">
        <v>615</v>
      </c>
      <c r="C1" t="s">
        <v>1018</v>
      </c>
      <c r="D1" t="s">
        <v>616</v>
      </c>
      <c r="E1" t="s">
        <v>617</v>
      </c>
      <c r="F1" t="s">
        <v>995</v>
      </c>
      <c r="G1" t="s">
        <v>618</v>
      </c>
    </row>
    <row r="2" spans="1:7" x14ac:dyDescent="0.25">
      <c r="A2">
        <v>1</v>
      </c>
      <c r="B2" s="1">
        <v>46251</v>
      </c>
      <c r="C2" t="s">
        <v>82</v>
      </c>
      <c r="D2">
        <v>0.01</v>
      </c>
      <c r="E2" t="s">
        <v>81</v>
      </c>
      <c r="F2" t="s">
        <v>996</v>
      </c>
      <c r="G2" t="s">
        <v>81</v>
      </c>
    </row>
    <row r="3" spans="1:7" x14ac:dyDescent="0.25">
      <c r="A3">
        <v>2</v>
      </c>
      <c r="B3" s="1">
        <v>46251</v>
      </c>
      <c r="C3" t="s">
        <v>59</v>
      </c>
      <c r="D3">
        <v>0.01</v>
      </c>
      <c r="E3" t="s">
        <v>60</v>
      </c>
      <c r="F3" t="s">
        <v>997</v>
      </c>
    </row>
    <row r="4" spans="1:7" x14ac:dyDescent="0.25">
      <c r="A4">
        <v>3</v>
      </c>
      <c r="B4" s="1">
        <v>46251</v>
      </c>
      <c r="C4" t="s">
        <v>84</v>
      </c>
      <c r="D4">
        <v>0.01</v>
      </c>
      <c r="E4" t="s">
        <v>83</v>
      </c>
      <c r="F4" t="s">
        <v>996</v>
      </c>
      <c r="G4" t="s">
        <v>83</v>
      </c>
    </row>
    <row r="5" spans="1:7" x14ac:dyDescent="0.25">
      <c r="A5">
        <v>4</v>
      </c>
      <c r="B5" s="1">
        <v>46251</v>
      </c>
      <c r="C5" t="s">
        <v>67</v>
      </c>
      <c r="D5">
        <v>0.01</v>
      </c>
      <c r="E5" t="s">
        <v>68</v>
      </c>
      <c r="F5" t="s">
        <v>996</v>
      </c>
    </row>
    <row r="6" spans="1:7" x14ac:dyDescent="0.25">
      <c r="A6">
        <v>5</v>
      </c>
      <c r="B6" s="1">
        <v>46251</v>
      </c>
      <c r="C6" t="s">
        <v>14</v>
      </c>
      <c r="D6">
        <v>0.01</v>
      </c>
      <c r="E6" t="s">
        <v>5</v>
      </c>
      <c r="F6" t="s">
        <v>996</v>
      </c>
    </row>
    <row r="7" spans="1:7" x14ac:dyDescent="0.25">
      <c r="A7">
        <v>6</v>
      </c>
      <c r="B7" s="1">
        <v>46251</v>
      </c>
      <c r="C7" t="s">
        <v>85</v>
      </c>
      <c r="D7">
        <v>0.01</v>
      </c>
      <c r="E7" t="s">
        <v>86</v>
      </c>
      <c r="F7" t="s">
        <v>996</v>
      </c>
      <c r="G7" t="s">
        <v>83</v>
      </c>
    </row>
    <row r="8" spans="1:7" x14ac:dyDescent="0.25">
      <c r="A8">
        <v>7</v>
      </c>
      <c r="B8" s="1">
        <v>46251</v>
      </c>
      <c r="C8" t="s">
        <v>87</v>
      </c>
      <c r="D8">
        <v>0.01</v>
      </c>
      <c r="E8" t="s">
        <v>88</v>
      </c>
      <c r="F8" t="s">
        <v>996</v>
      </c>
      <c r="G8" t="s">
        <v>83</v>
      </c>
    </row>
    <row r="9" spans="1:7" x14ac:dyDescent="0.25">
      <c r="A9">
        <v>8</v>
      </c>
      <c r="B9" s="1">
        <v>46251</v>
      </c>
      <c r="C9" t="s">
        <v>89</v>
      </c>
      <c r="D9">
        <v>0.01</v>
      </c>
      <c r="E9" t="s">
        <v>90</v>
      </c>
      <c r="F9" t="s">
        <v>996</v>
      </c>
      <c r="G9" t="s">
        <v>83</v>
      </c>
    </row>
    <row r="10" spans="1:7" x14ac:dyDescent="0.25">
      <c r="A10">
        <v>9</v>
      </c>
      <c r="B10" s="1">
        <v>46251</v>
      </c>
      <c r="C10" t="s">
        <v>124</v>
      </c>
      <c r="D10">
        <v>0.01</v>
      </c>
      <c r="E10" t="s">
        <v>125</v>
      </c>
      <c r="F10" t="s">
        <v>996</v>
      </c>
      <c r="G10" t="s">
        <v>619</v>
      </c>
    </row>
    <row r="11" spans="1:7" x14ac:dyDescent="0.25">
      <c r="A11">
        <v>10</v>
      </c>
      <c r="B11" s="1">
        <v>46251</v>
      </c>
      <c r="C11" t="s">
        <v>126</v>
      </c>
      <c r="D11">
        <v>0.01</v>
      </c>
      <c r="E11" t="s">
        <v>127</v>
      </c>
      <c r="F11" t="s">
        <v>998</v>
      </c>
      <c r="G11" t="s">
        <v>619</v>
      </c>
    </row>
    <row r="12" spans="1:7" x14ac:dyDescent="0.25">
      <c r="A12">
        <v>11</v>
      </c>
      <c r="B12" s="1">
        <v>46251</v>
      </c>
      <c r="C12" t="s">
        <v>128</v>
      </c>
      <c r="D12">
        <v>0.01</v>
      </c>
      <c r="E12" t="s">
        <v>129</v>
      </c>
      <c r="F12" t="s">
        <v>998</v>
      </c>
      <c r="G12" t="s">
        <v>619</v>
      </c>
    </row>
    <row r="13" spans="1:7" x14ac:dyDescent="0.25">
      <c r="A13">
        <v>12</v>
      </c>
      <c r="B13" s="1">
        <v>46251</v>
      </c>
      <c r="C13" t="s">
        <v>130</v>
      </c>
      <c r="D13">
        <v>0.01</v>
      </c>
      <c r="E13" t="s">
        <v>131</v>
      </c>
      <c r="F13" t="s">
        <v>996</v>
      </c>
      <c r="G13" t="s">
        <v>619</v>
      </c>
    </row>
    <row r="14" spans="1:7" x14ac:dyDescent="0.25">
      <c r="A14">
        <v>13</v>
      </c>
      <c r="B14" s="1">
        <v>46251</v>
      </c>
      <c r="C14" t="s">
        <v>134</v>
      </c>
      <c r="D14">
        <v>0.01</v>
      </c>
      <c r="E14" t="s">
        <v>135</v>
      </c>
      <c r="F14" t="s">
        <v>996</v>
      </c>
      <c r="G14" t="s">
        <v>619</v>
      </c>
    </row>
    <row r="15" spans="1:7" x14ac:dyDescent="0.25">
      <c r="A15">
        <v>14</v>
      </c>
      <c r="B15" s="1">
        <v>46251</v>
      </c>
      <c r="C15" t="s">
        <v>136</v>
      </c>
      <c r="D15">
        <v>0.01</v>
      </c>
      <c r="E15" t="s">
        <v>137</v>
      </c>
      <c r="F15" t="s">
        <v>996</v>
      </c>
      <c r="G15" t="s">
        <v>619</v>
      </c>
    </row>
    <row r="16" spans="1:7" x14ac:dyDescent="0.25">
      <c r="A16">
        <v>15</v>
      </c>
      <c r="B16" s="1">
        <v>46251</v>
      </c>
      <c r="C16" t="s">
        <v>138</v>
      </c>
      <c r="D16">
        <v>0.01</v>
      </c>
      <c r="E16" t="s">
        <v>139</v>
      </c>
      <c r="F16" t="s">
        <v>996</v>
      </c>
      <c r="G16" t="s">
        <v>619</v>
      </c>
    </row>
    <row r="17" spans="1:7" x14ac:dyDescent="0.25">
      <c r="A17">
        <v>16</v>
      </c>
      <c r="B17" s="1">
        <v>46251</v>
      </c>
      <c r="C17" t="s">
        <v>140</v>
      </c>
      <c r="D17">
        <v>0.01</v>
      </c>
      <c r="E17" t="s">
        <v>141</v>
      </c>
      <c r="F17" t="s">
        <v>996</v>
      </c>
      <c r="G17" t="s">
        <v>619</v>
      </c>
    </row>
    <row r="18" spans="1:7" x14ac:dyDescent="0.25">
      <c r="A18">
        <v>17</v>
      </c>
      <c r="B18" s="1">
        <v>46251</v>
      </c>
      <c r="C18" t="s">
        <v>142</v>
      </c>
      <c r="D18">
        <v>0.01</v>
      </c>
      <c r="E18" t="s">
        <v>143</v>
      </c>
      <c r="F18" t="s">
        <v>996</v>
      </c>
      <c r="G18" t="s">
        <v>619</v>
      </c>
    </row>
    <row r="19" spans="1:7" x14ac:dyDescent="0.25">
      <c r="A19">
        <v>18</v>
      </c>
      <c r="B19" s="1">
        <v>46251</v>
      </c>
      <c r="C19" t="s">
        <v>144</v>
      </c>
      <c r="D19">
        <v>0.01</v>
      </c>
      <c r="E19" t="s">
        <v>145</v>
      </c>
      <c r="F19" t="s">
        <v>998</v>
      </c>
      <c r="G19" t="s">
        <v>619</v>
      </c>
    </row>
    <row r="20" spans="1:7" x14ac:dyDescent="0.25">
      <c r="A20">
        <v>19</v>
      </c>
      <c r="B20" s="1">
        <v>46251</v>
      </c>
      <c r="C20" t="s">
        <v>146</v>
      </c>
      <c r="D20">
        <v>0.01</v>
      </c>
      <c r="E20" t="s">
        <v>147</v>
      </c>
      <c r="F20" t="s">
        <v>996</v>
      </c>
      <c r="G20" t="s">
        <v>619</v>
      </c>
    </row>
    <row r="21" spans="1:7" x14ac:dyDescent="0.25">
      <c r="A21">
        <v>20</v>
      </c>
      <c r="B21" s="1">
        <v>46251</v>
      </c>
      <c r="C21" t="s">
        <v>69</v>
      </c>
      <c r="D21">
        <v>0.01</v>
      </c>
      <c r="E21" t="s">
        <v>70</v>
      </c>
      <c r="F21" t="s">
        <v>996</v>
      </c>
    </row>
    <row r="22" spans="1:7" x14ac:dyDescent="0.25">
      <c r="A22">
        <v>21</v>
      </c>
      <c r="B22" s="1">
        <v>46251</v>
      </c>
      <c r="C22" t="s">
        <v>45</v>
      </c>
      <c r="D22">
        <v>0.01</v>
      </c>
      <c r="E22" t="s">
        <v>46</v>
      </c>
      <c r="F22" t="s">
        <v>996</v>
      </c>
    </row>
    <row r="23" spans="1:7" x14ac:dyDescent="0.25">
      <c r="A23">
        <v>22</v>
      </c>
      <c r="B23" s="1">
        <v>46251</v>
      </c>
      <c r="C23" t="s">
        <v>17</v>
      </c>
      <c r="D23">
        <v>0.01</v>
      </c>
      <c r="E23" t="s">
        <v>18</v>
      </c>
      <c r="F23" t="s">
        <v>996</v>
      </c>
    </row>
    <row r="24" spans="1:7" x14ac:dyDescent="0.25">
      <c r="A24">
        <v>23</v>
      </c>
      <c r="B24" s="1">
        <v>46251</v>
      </c>
      <c r="C24" t="s">
        <v>165</v>
      </c>
      <c r="D24">
        <v>0.01</v>
      </c>
      <c r="E24" t="s">
        <v>162</v>
      </c>
      <c r="F24" t="s">
        <v>996</v>
      </c>
      <c r="G24" t="s">
        <v>162</v>
      </c>
    </row>
    <row r="25" spans="1:7" x14ac:dyDescent="0.25">
      <c r="A25">
        <v>24</v>
      </c>
      <c r="B25" s="1">
        <v>46251</v>
      </c>
      <c r="C25" t="s">
        <v>148</v>
      </c>
      <c r="D25">
        <v>0.01</v>
      </c>
      <c r="E25" t="s">
        <v>149</v>
      </c>
      <c r="F25" t="s">
        <v>999</v>
      </c>
      <c r="G25" t="s">
        <v>619</v>
      </c>
    </row>
    <row r="26" spans="1:7" x14ac:dyDescent="0.25">
      <c r="A26">
        <v>25</v>
      </c>
      <c r="B26" s="1">
        <v>46251</v>
      </c>
      <c r="C26" t="s">
        <v>150</v>
      </c>
      <c r="D26">
        <v>0.01</v>
      </c>
      <c r="E26" t="s">
        <v>151</v>
      </c>
      <c r="F26" t="s">
        <v>999</v>
      </c>
      <c r="G26" t="s">
        <v>619</v>
      </c>
    </row>
    <row r="27" spans="1:7" x14ac:dyDescent="0.25">
      <c r="A27">
        <v>26</v>
      </c>
      <c r="B27" s="1">
        <v>46251</v>
      </c>
      <c r="C27" t="s">
        <v>520</v>
      </c>
      <c r="D27">
        <v>0.01</v>
      </c>
      <c r="E27" t="s">
        <v>521</v>
      </c>
      <c r="F27" t="s">
        <v>1000</v>
      </c>
      <c r="G27" t="s">
        <v>162</v>
      </c>
    </row>
    <row r="28" spans="1:7" x14ac:dyDescent="0.25">
      <c r="A28">
        <v>27</v>
      </c>
      <c r="B28" s="1">
        <v>46251</v>
      </c>
      <c r="C28" t="s">
        <v>620</v>
      </c>
      <c r="D28">
        <v>0.01</v>
      </c>
      <c r="E28" t="s">
        <v>621</v>
      </c>
      <c r="F28" t="s">
        <v>1001</v>
      </c>
      <c r="G28" t="s">
        <v>621</v>
      </c>
    </row>
    <row r="29" spans="1:7" x14ac:dyDescent="0.25">
      <c r="A29">
        <v>28</v>
      </c>
      <c r="B29" s="1">
        <v>46251</v>
      </c>
      <c r="C29" t="s">
        <v>166</v>
      </c>
      <c r="D29">
        <v>0.01</v>
      </c>
      <c r="E29" t="s">
        <v>167</v>
      </c>
      <c r="F29" t="s">
        <v>1002</v>
      </c>
      <c r="G29" t="s">
        <v>162</v>
      </c>
    </row>
    <row r="30" spans="1:7" x14ac:dyDescent="0.25">
      <c r="A30">
        <v>29</v>
      </c>
      <c r="B30" s="1">
        <v>46251</v>
      </c>
      <c r="C30" t="s">
        <v>622</v>
      </c>
      <c r="D30">
        <v>0.01</v>
      </c>
      <c r="E30" t="s">
        <v>623</v>
      </c>
      <c r="F30" t="s">
        <v>996</v>
      </c>
      <c r="G30" t="s">
        <v>623</v>
      </c>
    </row>
    <row r="31" spans="1:7" x14ac:dyDescent="0.25">
      <c r="A31">
        <v>30</v>
      </c>
      <c r="B31" s="1">
        <v>46251</v>
      </c>
      <c r="C31" t="s">
        <v>253</v>
      </c>
      <c r="D31">
        <v>0.01</v>
      </c>
      <c r="E31" t="s">
        <v>254</v>
      </c>
      <c r="F31" t="s">
        <v>996</v>
      </c>
      <c r="G31" t="s">
        <v>224</v>
      </c>
    </row>
    <row r="32" spans="1:7" x14ac:dyDescent="0.25">
      <c r="A32">
        <v>31</v>
      </c>
      <c r="B32" s="1">
        <v>46251</v>
      </c>
      <c r="C32" t="s">
        <v>247</v>
      </c>
      <c r="D32">
        <v>0.01</v>
      </c>
      <c r="E32" t="s">
        <v>248</v>
      </c>
      <c r="F32" t="s">
        <v>996</v>
      </c>
      <c r="G32" t="s">
        <v>224</v>
      </c>
    </row>
    <row r="33" spans="1:7" x14ac:dyDescent="0.25">
      <c r="A33">
        <v>32</v>
      </c>
      <c r="B33" s="1">
        <v>46251</v>
      </c>
      <c r="C33" t="s">
        <v>315</v>
      </c>
      <c r="D33">
        <v>0.01</v>
      </c>
      <c r="E33" t="s">
        <v>316</v>
      </c>
      <c r="F33" t="s">
        <v>996</v>
      </c>
      <c r="G33" t="s">
        <v>224</v>
      </c>
    </row>
    <row r="34" spans="1:7" x14ac:dyDescent="0.25">
      <c r="A34">
        <v>33</v>
      </c>
      <c r="B34" s="1">
        <v>46251</v>
      </c>
      <c r="C34" t="s">
        <v>297</v>
      </c>
      <c r="D34">
        <v>0.01</v>
      </c>
      <c r="E34" t="s">
        <v>298</v>
      </c>
      <c r="F34" t="s">
        <v>996</v>
      </c>
      <c r="G34" t="s">
        <v>224</v>
      </c>
    </row>
    <row r="35" spans="1:7" x14ac:dyDescent="0.25">
      <c r="A35">
        <v>34</v>
      </c>
      <c r="B35" s="1">
        <v>46251</v>
      </c>
      <c r="C35" t="s">
        <v>299</v>
      </c>
      <c r="D35">
        <v>0.01</v>
      </c>
      <c r="E35" t="s">
        <v>300</v>
      </c>
      <c r="F35" t="s">
        <v>996</v>
      </c>
      <c r="G35" t="s">
        <v>224</v>
      </c>
    </row>
    <row r="36" spans="1:7" x14ac:dyDescent="0.25">
      <c r="A36">
        <v>35</v>
      </c>
      <c r="B36" s="1">
        <v>46251</v>
      </c>
      <c r="C36" t="s">
        <v>257</v>
      </c>
      <c r="D36">
        <v>0.01</v>
      </c>
      <c r="E36" t="s">
        <v>258</v>
      </c>
      <c r="F36" t="s">
        <v>996</v>
      </c>
      <c r="G36" t="s">
        <v>224</v>
      </c>
    </row>
    <row r="37" spans="1:7" x14ac:dyDescent="0.25">
      <c r="A37">
        <v>36</v>
      </c>
      <c r="B37" s="1">
        <v>46251</v>
      </c>
      <c r="C37" t="s">
        <v>261</v>
      </c>
      <c r="D37">
        <v>0.01</v>
      </c>
      <c r="E37" t="s">
        <v>262</v>
      </c>
      <c r="F37" t="s">
        <v>996</v>
      </c>
      <c r="G37" t="s">
        <v>224</v>
      </c>
    </row>
    <row r="38" spans="1:7" x14ac:dyDescent="0.25">
      <c r="A38">
        <v>37</v>
      </c>
      <c r="B38" s="1">
        <v>46251</v>
      </c>
      <c r="C38" t="s">
        <v>295</v>
      </c>
      <c r="D38">
        <v>0.01</v>
      </c>
      <c r="E38" t="s">
        <v>296</v>
      </c>
      <c r="F38" t="s">
        <v>996</v>
      </c>
      <c r="G38" t="s">
        <v>224</v>
      </c>
    </row>
    <row r="39" spans="1:7" x14ac:dyDescent="0.25">
      <c r="A39">
        <v>38</v>
      </c>
      <c r="B39" s="1">
        <v>46251</v>
      </c>
      <c r="C39" t="s">
        <v>239</v>
      </c>
      <c r="D39">
        <v>0.01</v>
      </c>
      <c r="E39" t="s">
        <v>240</v>
      </c>
      <c r="F39" t="s">
        <v>996</v>
      </c>
      <c r="G39" t="s">
        <v>224</v>
      </c>
    </row>
    <row r="40" spans="1:7" x14ac:dyDescent="0.25">
      <c r="A40">
        <v>39</v>
      </c>
      <c r="B40" s="1">
        <v>46251</v>
      </c>
      <c r="C40" t="s">
        <v>251</v>
      </c>
      <c r="D40">
        <v>0.01</v>
      </c>
      <c r="E40" t="s">
        <v>252</v>
      </c>
      <c r="F40" t="s">
        <v>996</v>
      </c>
      <c r="G40" t="s">
        <v>224</v>
      </c>
    </row>
    <row r="41" spans="1:7" x14ac:dyDescent="0.25">
      <c r="A41">
        <v>40</v>
      </c>
      <c r="B41" s="1">
        <v>46251</v>
      </c>
      <c r="C41" t="s">
        <v>245</v>
      </c>
      <c r="D41">
        <v>0.01</v>
      </c>
      <c r="E41" t="s">
        <v>246</v>
      </c>
      <c r="F41" t="s">
        <v>996</v>
      </c>
      <c r="G41" t="s">
        <v>224</v>
      </c>
    </row>
    <row r="42" spans="1:7" x14ac:dyDescent="0.25">
      <c r="A42">
        <v>41</v>
      </c>
      <c r="B42" s="1">
        <v>46251</v>
      </c>
      <c r="C42" t="s">
        <v>345</v>
      </c>
      <c r="D42">
        <v>0.01</v>
      </c>
      <c r="E42" t="s">
        <v>346</v>
      </c>
      <c r="F42" t="s">
        <v>996</v>
      </c>
      <c r="G42" t="s">
        <v>224</v>
      </c>
    </row>
    <row r="43" spans="1:7" x14ac:dyDescent="0.25">
      <c r="A43">
        <v>42</v>
      </c>
      <c r="B43" s="1">
        <v>46251</v>
      </c>
      <c r="C43" t="s">
        <v>168</v>
      </c>
      <c r="D43">
        <v>0.01</v>
      </c>
      <c r="E43" t="s">
        <v>169</v>
      </c>
      <c r="F43" t="s">
        <v>996</v>
      </c>
      <c r="G43" t="s">
        <v>162</v>
      </c>
    </row>
    <row r="44" spans="1:7" x14ac:dyDescent="0.25">
      <c r="A44">
        <v>43</v>
      </c>
      <c r="B44" s="1">
        <v>46251</v>
      </c>
      <c r="C44" t="s">
        <v>428</v>
      </c>
      <c r="D44">
        <v>0.01</v>
      </c>
      <c r="E44" t="s">
        <v>429</v>
      </c>
      <c r="F44" t="s">
        <v>1000</v>
      </c>
      <c r="G44" t="s">
        <v>421</v>
      </c>
    </row>
    <row r="45" spans="1:7" x14ac:dyDescent="0.25">
      <c r="A45">
        <v>44</v>
      </c>
      <c r="B45" s="1">
        <v>46251</v>
      </c>
      <c r="C45" t="s">
        <v>437</v>
      </c>
      <c r="D45">
        <v>0.01</v>
      </c>
      <c r="E45" t="s">
        <v>421</v>
      </c>
      <c r="F45" t="s">
        <v>1000</v>
      </c>
      <c r="G45" t="s">
        <v>421</v>
      </c>
    </row>
    <row r="46" spans="1:7" x14ac:dyDescent="0.25">
      <c r="A46">
        <v>45</v>
      </c>
      <c r="B46" s="1">
        <v>46251</v>
      </c>
      <c r="C46" t="s">
        <v>387</v>
      </c>
      <c r="D46">
        <v>0.01</v>
      </c>
      <c r="E46" t="s">
        <v>388</v>
      </c>
      <c r="F46" t="s">
        <v>996</v>
      </c>
      <c r="G46" t="s">
        <v>384</v>
      </c>
    </row>
    <row r="47" spans="1:7" x14ac:dyDescent="0.25">
      <c r="A47">
        <v>46</v>
      </c>
      <c r="B47" s="1">
        <v>46251</v>
      </c>
      <c r="C47" t="s">
        <v>624</v>
      </c>
      <c r="D47">
        <v>0.01</v>
      </c>
      <c r="E47" t="s">
        <v>625</v>
      </c>
      <c r="F47" t="s">
        <v>996</v>
      </c>
      <c r="G47" t="s">
        <v>384</v>
      </c>
    </row>
    <row r="48" spans="1:7" x14ac:dyDescent="0.25">
      <c r="A48">
        <v>47</v>
      </c>
      <c r="B48" s="1">
        <v>46251</v>
      </c>
      <c r="C48" t="s">
        <v>391</v>
      </c>
      <c r="D48">
        <v>0.01</v>
      </c>
      <c r="E48" t="s">
        <v>392</v>
      </c>
      <c r="F48" t="s">
        <v>996</v>
      </c>
      <c r="G48" t="s">
        <v>384</v>
      </c>
    </row>
    <row r="49" spans="1:7" x14ac:dyDescent="0.25">
      <c r="A49">
        <v>48</v>
      </c>
      <c r="B49" s="1">
        <v>46251</v>
      </c>
      <c r="C49" t="s">
        <v>411</v>
      </c>
      <c r="D49">
        <v>0.01</v>
      </c>
      <c r="E49" t="s">
        <v>412</v>
      </c>
      <c r="F49" t="s">
        <v>996</v>
      </c>
      <c r="G49" t="s">
        <v>384</v>
      </c>
    </row>
    <row r="50" spans="1:7" x14ac:dyDescent="0.25">
      <c r="A50">
        <v>49</v>
      </c>
      <c r="B50" s="1">
        <v>46251</v>
      </c>
      <c r="C50" t="s">
        <v>395</v>
      </c>
      <c r="D50">
        <v>0.01</v>
      </c>
      <c r="E50" t="s">
        <v>396</v>
      </c>
      <c r="F50" t="s">
        <v>996</v>
      </c>
      <c r="G50" t="s">
        <v>384</v>
      </c>
    </row>
    <row r="51" spans="1:7" x14ac:dyDescent="0.25">
      <c r="A51">
        <v>50</v>
      </c>
      <c r="B51" s="1">
        <v>46251</v>
      </c>
      <c r="C51" t="s">
        <v>405</v>
      </c>
      <c r="D51">
        <v>0.01</v>
      </c>
      <c r="E51" t="s">
        <v>406</v>
      </c>
      <c r="F51" t="s">
        <v>996</v>
      </c>
      <c r="G51" t="s">
        <v>384</v>
      </c>
    </row>
    <row r="52" spans="1:7" x14ac:dyDescent="0.25">
      <c r="A52">
        <v>51</v>
      </c>
      <c r="B52" s="1">
        <v>46251</v>
      </c>
      <c r="C52" t="s">
        <v>375</v>
      </c>
      <c r="D52">
        <v>0.01</v>
      </c>
      <c r="E52" t="s">
        <v>376</v>
      </c>
      <c r="F52" t="s">
        <v>996</v>
      </c>
      <c r="G52" t="s">
        <v>384</v>
      </c>
    </row>
    <row r="53" spans="1:7" x14ac:dyDescent="0.25">
      <c r="A53">
        <v>52</v>
      </c>
      <c r="B53" s="1">
        <v>46251</v>
      </c>
      <c r="C53" t="s">
        <v>409</v>
      </c>
      <c r="D53">
        <v>0.01</v>
      </c>
      <c r="E53" t="s">
        <v>410</v>
      </c>
      <c r="F53" t="s">
        <v>996</v>
      </c>
      <c r="G53" t="s">
        <v>384</v>
      </c>
    </row>
    <row r="54" spans="1:7" x14ac:dyDescent="0.25">
      <c r="A54">
        <v>53</v>
      </c>
      <c r="B54" s="1">
        <v>46251</v>
      </c>
      <c r="C54" t="s">
        <v>379</v>
      </c>
      <c r="D54">
        <v>0.01</v>
      </c>
      <c r="E54" t="s">
        <v>380</v>
      </c>
      <c r="F54" t="s">
        <v>996</v>
      </c>
      <c r="G54" t="s">
        <v>384</v>
      </c>
    </row>
    <row r="55" spans="1:7" x14ac:dyDescent="0.25">
      <c r="A55">
        <v>54</v>
      </c>
      <c r="B55" s="1">
        <v>46251</v>
      </c>
      <c r="C55" t="s">
        <v>393</v>
      </c>
      <c r="D55">
        <v>0.01</v>
      </c>
      <c r="E55" t="s">
        <v>394</v>
      </c>
      <c r="F55" t="s">
        <v>996</v>
      </c>
      <c r="G55" t="s">
        <v>384</v>
      </c>
    </row>
    <row r="56" spans="1:7" x14ac:dyDescent="0.25">
      <c r="A56">
        <v>55</v>
      </c>
      <c r="B56" s="1">
        <v>46251</v>
      </c>
      <c r="C56" t="s">
        <v>626</v>
      </c>
      <c r="D56">
        <v>0.01</v>
      </c>
      <c r="E56" t="s">
        <v>627</v>
      </c>
      <c r="F56" t="s">
        <v>996</v>
      </c>
      <c r="G56" t="s">
        <v>621</v>
      </c>
    </row>
    <row r="57" spans="1:7" x14ac:dyDescent="0.25">
      <c r="A57">
        <v>56</v>
      </c>
      <c r="B57" s="1">
        <v>46251</v>
      </c>
      <c r="C57" t="s">
        <v>628</v>
      </c>
      <c r="D57">
        <v>0.01</v>
      </c>
      <c r="E57" t="s">
        <v>629</v>
      </c>
      <c r="F57" t="s">
        <v>996</v>
      </c>
      <c r="G57" t="s">
        <v>621</v>
      </c>
    </row>
    <row r="58" spans="1:7" x14ac:dyDescent="0.25">
      <c r="A58">
        <v>57</v>
      </c>
      <c r="B58" s="1">
        <v>46251</v>
      </c>
      <c r="C58" t="s">
        <v>397</v>
      </c>
      <c r="D58">
        <v>0.01</v>
      </c>
      <c r="E58" t="s">
        <v>398</v>
      </c>
      <c r="F58" t="s">
        <v>1000</v>
      </c>
      <c r="G58" t="s">
        <v>384</v>
      </c>
    </row>
    <row r="59" spans="1:7" x14ac:dyDescent="0.25">
      <c r="A59">
        <v>58</v>
      </c>
      <c r="B59" s="1">
        <v>46251</v>
      </c>
      <c r="C59" t="s">
        <v>630</v>
      </c>
      <c r="D59">
        <v>0.01</v>
      </c>
      <c r="E59" t="s">
        <v>631</v>
      </c>
      <c r="F59" t="s">
        <v>996</v>
      </c>
      <c r="G59" t="s">
        <v>621</v>
      </c>
    </row>
    <row r="60" spans="1:7" x14ac:dyDescent="0.25">
      <c r="A60">
        <v>59</v>
      </c>
      <c r="B60" s="1">
        <v>46251</v>
      </c>
      <c r="C60" t="s">
        <v>632</v>
      </c>
      <c r="D60">
        <v>0.01</v>
      </c>
      <c r="E60" t="s">
        <v>633</v>
      </c>
      <c r="F60" t="s">
        <v>996</v>
      </c>
      <c r="G60" t="s">
        <v>621</v>
      </c>
    </row>
    <row r="61" spans="1:7" x14ac:dyDescent="0.25">
      <c r="A61">
        <v>60</v>
      </c>
      <c r="B61" s="1">
        <v>46251</v>
      </c>
      <c r="C61" t="s">
        <v>634</v>
      </c>
      <c r="D61">
        <v>0.01</v>
      </c>
      <c r="E61" t="s">
        <v>635</v>
      </c>
      <c r="F61" t="s">
        <v>996</v>
      </c>
      <c r="G61" t="s">
        <v>621</v>
      </c>
    </row>
    <row r="62" spans="1:7" x14ac:dyDescent="0.25">
      <c r="A62">
        <v>61</v>
      </c>
      <c r="B62" s="1">
        <v>46251</v>
      </c>
      <c r="C62" t="s">
        <v>636</v>
      </c>
      <c r="D62">
        <v>0.01</v>
      </c>
      <c r="E62" t="s">
        <v>637</v>
      </c>
      <c r="F62" t="s">
        <v>996</v>
      </c>
      <c r="G62" t="s">
        <v>621</v>
      </c>
    </row>
    <row r="63" spans="1:7" x14ac:dyDescent="0.25">
      <c r="A63">
        <v>62</v>
      </c>
      <c r="B63" s="1">
        <v>46251</v>
      </c>
      <c r="C63" t="s">
        <v>638</v>
      </c>
      <c r="D63">
        <v>0.01</v>
      </c>
      <c r="E63" t="s">
        <v>639</v>
      </c>
      <c r="F63" t="s">
        <v>996</v>
      </c>
      <c r="G63" t="s">
        <v>621</v>
      </c>
    </row>
    <row r="64" spans="1:7" x14ac:dyDescent="0.25">
      <c r="A64">
        <v>63</v>
      </c>
      <c r="B64" s="1">
        <v>46251</v>
      </c>
      <c r="C64" t="s">
        <v>640</v>
      </c>
      <c r="D64">
        <v>0.01</v>
      </c>
      <c r="E64" t="s">
        <v>641</v>
      </c>
      <c r="F64" t="s">
        <v>996</v>
      </c>
      <c r="G64" t="s">
        <v>621</v>
      </c>
    </row>
    <row r="65" spans="1:7" x14ac:dyDescent="0.25">
      <c r="A65">
        <v>64</v>
      </c>
      <c r="B65" s="1">
        <v>46251</v>
      </c>
      <c r="C65" t="s">
        <v>642</v>
      </c>
      <c r="D65">
        <v>0.01</v>
      </c>
      <c r="E65" t="s">
        <v>643</v>
      </c>
      <c r="F65" t="s">
        <v>996</v>
      </c>
      <c r="G65" t="s">
        <v>621</v>
      </c>
    </row>
    <row r="66" spans="1:7" x14ac:dyDescent="0.25">
      <c r="A66">
        <v>65</v>
      </c>
      <c r="B66" s="1">
        <v>46251</v>
      </c>
      <c r="C66" t="s">
        <v>644</v>
      </c>
      <c r="D66">
        <v>0.01</v>
      </c>
      <c r="E66" t="s">
        <v>645</v>
      </c>
      <c r="F66" t="s">
        <v>996</v>
      </c>
      <c r="G66" t="s">
        <v>621</v>
      </c>
    </row>
    <row r="67" spans="1:7" x14ac:dyDescent="0.25">
      <c r="A67">
        <v>66</v>
      </c>
      <c r="B67" s="1">
        <v>46251</v>
      </c>
      <c r="C67" t="s">
        <v>646</v>
      </c>
      <c r="D67">
        <v>0.01</v>
      </c>
      <c r="E67" t="s">
        <v>647</v>
      </c>
      <c r="F67" t="s">
        <v>996</v>
      </c>
      <c r="G67" t="s">
        <v>621</v>
      </c>
    </row>
    <row r="68" spans="1:7" x14ac:dyDescent="0.25">
      <c r="A68">
        <v>67</v>
      </c>
      <c r="B68" s="1">
        <v>46251</v>
      </c>
      <c r="C68" t="s">
        <v>648</v>
      </c>
      <c r="D68">
        <v>0.01</v>
      </c>
      <c r="E68" t="s">
        <v>649</v>
      </c>
      <c r="F68" t="s">
        <v>996</v>
      </c>
      <c r="G68" t="s">
        <v>621</v>
      </c>
    </row>
    <row r="69" spans="1:7" x14ac:dyDescent="0.25">
      <c r="A69">
        <v>68</v>
      </c>
      <c r="B69" s="1">
        <v>46251</v>
      </c>
      <c r="C69" t="s">
        <v>650</v>
      </c>
      <c r="D69">
        <v>0.01</v>
      </c>
      <c r="E69" t="s">
        <v>651</v>
      </c>
      <c r="F69" t="s">
        <v>996</v>
      </c>
      <c r="G69" t="s">
        <v>621</v>
      </c>
    </row>
    <row r="70" spans="1:7" x14ac:dyDescent="0.25">
      <c r="A70">
        <v>69</v>
      </c>
      <c r="B70" s="1">
        <v>46251</v>
      </c>
      <c r="C70" t="s">
        <v>47</v>
      </c>
      <c r="D70">
        <v>0.01</v>
      </c>
      <c r="E70" t="s">
        <v>48</v>
      </c>
      <c r="F70" t="s">
        <v>996</v>
      </c>
    </row>
    <row r="71" spans="1:7" x14ac:dyDescent="0.25">
      <c r="A71">
        <v>70</v>
      </c>
      <c r="B71" s="1">
        <v>46251</v>
      </c>
      <c r="C71" t="s">
        <v>8</v>
      </c>
      <c r="D71">
        <v>0.01</v>
      </c>
      <c r="E71" t="s">
        <v>9</v>
      </c>
      <c r="F71" t="s">
        <v>996</v>
      </c>
    </row>
    <row r="72" spans="1:7" x14ac:dyDescent="0.25">
      <c r="A72">
        <v>71</v>
      </c>
      <c r="B72" s="1">
        <v>46251</v>
      </c>
      <c r="C72" t="s">
        <v>31</v>
      </c>
      <c r="D72">
        <v>0.01</v>
      </c>
      <c r="E72" t="s">
        <v>32</v>
      </c>
      <c r="F72" t="s">
        <v>996</v>
      </c>
    </row>
    <row r="73" spans="1:7" x14ac:dyDescent="0.25">
      <c r="A73">
        <v>72</v>
      </c>
      <c r="B73" s="1">
        <v>46251</v>
      </c>
      <c r="C73" t="s">
        <v>33</v>
      </c>
      <c r="D73">
        <v>0.01</v>
      </c>
      <c r="E73" t="s">
        <v>34</v>
      </c>
      <c r="F73" t="s">
        <v>996</v>
      </c>
    </row>
    <row r="74" spans="1:7" x14ac:dyDescent="0.25">
      <c r="A74">
        <v>73</v>
      </c>
      <c r="B74" s="1">
        <v>46251</v>
      </c>
      <c r="C74" t="s">
        <v>53</v>
      </c>
      <c r="D74">
        <v>0.01</v>
      </c>
      <c r="E74" t="s">
        <v>54</v>
      </c>
      <c r="F74" t="s">
        <v>996</v>
      </c>
    </row>
    <row r="75" spans="1:7" x14ac:dyDescent="0.25">
      <c r="A75">
        <v>74</v>
      </c>
      <c r="B75" s="1">
        <v>46251</v>
      </c>
      <c r="C75" t="s">
        <v>21</v>
      </c>
      <c r="D75">
        <v>0.01</v>
      </c>
      <c r="E75" t="s">
        <v>22</v>
      </c>
      <c r="F75" t="s">
        <v>996</v>
      </c>
    </row>
    <row r="76" spans="1:7" x14ac:dyDescent="0.25">
      <c r="A76">
        <v>75</v>
      </c>
      <c r="B76" s="1">
        <v>46251</v>
      </c>
      <c r="C76" t="s">
        <v>25</v>
      </c>
      <c r="D76">
        <v>0.01</v>
      </c>
      <c r="E76" t="s">
        <v>26</v>
      </c>
      <c r="F76" t="s">
        <v>996</v>
      </c>
    </row>
    <row r="77" spans="1:7" x14ac:dyDescent="0.25">
      <c r="A77">
        <v>76</v>
      </c>
      <c r="B77" s="1">
        <v>46251</v>
      </c>
      <c r="C77" t="s">
        <v>170</v>
      </c>
      <c r="D77">
        <v>0.01</v>
      </c>
      <c r="E77" t="s">
        <v>171</v>
      </c>
      <c r="F77" t="s">
        <v>996</v>
      </c>
      <c r="G77" t="s">
        <v>162</v>
      </c>
    </row>
    <row r="78" spans="1:7" x14ac:dyDescent="0.25">
      <c r="A78">
        <v>77</v>
      </c>
      <c r="B78" s="1">
        <v>46251</v>
      </c>
      <c r="C78" t="s">
        <v>172</v>
      </c>
      <c r="D78">
        <v>0.01</v>
      </c>
      <c r="E78" t="s">
        <v>173</v>
      </c>
      <c r="F78" t="s">
        <v>996</v>
      </c>
      <c r="G78" t="s">
        <v>162</v>
      </c>
    </row>
    <row r="79" spans="1:7" x14ac:dyDescent="0.25">
      <c r="A79">
        <v>78</v>
      </c>
      <c r="B79" s="1">
        <v>46251</v>
      </c>
      <c r="C79" t="s">
        <v>174</v>
      </c>
      <c r="D79">
        <v>0.01</v>
      </c>
      <c r="E79" t="s">
        <v>175</v>
      </c>
      <c r="F79" t="s">
        <v>996</v>
      </c>
      <c r="G79" t="s">
        <v>162</v>
      </c>
    </row>
    <row r="80" spans="1:7" x14ac:dyDescent="0.25">
      <c r="A80">
        <v>79</v>
      </c>
      <c r="B80" s="1">
        <v>46251</v>
      </c>
      <c r="C80" t="s">
        <v>176</v>
      </c>
      <c r="D80">
        <v>0.01</v>
      </c>
      <c r="E80" t="s">
        <v>177</v>
      </c>
      <c r="F80" t="s">
        <v>996</v>
      </c>
      <c r="G80" t="s">
        <v>162</v>
      </c>
    </row>
    <row r="81" spans="1:7" x14ac:dyDescent="0.25">
      <c r="A81">
        <v>80</v>
      </c>
      <c r="B81" s="1">
        <v>46251</v>
      </c>
      <c r="C81" t="s">
        <v>178</v>
      </c>
      <c r="D81">
        <v>0.01</v>
      </c>
      <c r="E81" t="s">
        <v>179</v>
      </c>
      <c r="F81" t="s">
        <v>996</v>
      </c>
      <c r="G81" t="s">
        <v>162</v>
      </c>
    </row>
    <row r="82" spans="1:7" x14ac:dyDescent="0.25">
      <c r="A82">
        <v>81</v>
      </c>
      <c r="B82" s="1">
        <v>46251</v>
      </c>
      <c r="C82" t="s">
        <v>180</v>
      </c>
      <c r="D82">
        <v>0.01</v>
      </c>
      <c r="E82" t="s">
        <v>181</v>
      </c>
      <c r="F82" t="s">
        <v>996</v>
      </c>
      <c r="G82" t="s">
        <v>162</v>
      </c>
    </row>
    <row r="83" spans="1:7" x14ac:dyDescent="0.25">
      <c r="A83">
        <v>82</v>
      </c>
      <c r="B83" s="1">
        <v>46251</v>
      </c>
      <c r="C83" t="s">
        <v>182</v>
      </c>
      <c r="D83">
        <v>0.01</v>
      </c>
      <c r="E83" t="s">
        <v>183</v>
      </c>
      <c r="F83" t="s">
        <v>996</v>
      </c>
      <c r="G83" t="s">
        <v>162</v>
      </c>
    </row>
    <row r="84" spans="1:7" x14ac:dyDescent="0.25">
      <c r="A84">
        <v>83</v>
      </c>
      <c r="B84" s="1">
        <v>46251</v>
      </c>
      <c r="C84" t="s">
        <v>225</v>
      </c>
      <c r="D84">
        <v>0.01</v>
      </c>
      <c r="E84" t="s">
        <v>226</v>
      </c>
      <c r="F84" t="s">
        <v>996</v>
      </c>
      <c r="G84" t="s">
        <v>224</v>
      </c>
    </row>
    <row r="85" spans="1:7" x14ac:dyDescent="0.25">
      <c r="A85">
        <v>84</v>
      </c>
      <c r="B85" s="1">
        <v>46251</v>
      </c>
      <c r="C85" t="s">
        <v>438</v>
      </c>
      <c r="D85">
        <v>0.01</v>
      </c>
      <c r="E85" t="s">
        <v>439</v>
      </c>
      <c r="F85" t="s">
        <v>1001</v>
      </c>
      <c r="G85" t="s">
        <v>421</v>
      </c>
    </row>
    <row r="86" spans="1:7" x14ac:dyDescent="0.25">
      <c r="A86">
        <v>85</v>
      </c>
      <c r="B86" s="1">
        <v>46251</v>
      </c>
      <c r="C86" t="s">
        <v>652</v>
      </c>
      <c r="D86">
        <v>0.01</v>
      </c>
      <c r="E86" t="s">
        <v>653</v>
      </c>
      <c r="F86" t="s">
        <v>996</v>
      </c>
      <c r="G86" t="s">
        <v>621</v>
      </c>
    </row>
    <row r="87" spans="1:7" x14ac:dyDescent="0.25">
      <c r="A87">
        <v>86</v>
      </c>
      <c r="B87" s="1">
        <v>46251</v>
      </c>
      <c r="C87" t="s">
        <v>654</v>
      </c>
      <c r="D87">
        <v>0.01</v>
      </c>
      <c r="E87" t="s">
        <v>655</v>
      </c>
      <c r="F87" t="s">
        <v>996</v>
      </c>
      <c r="G87" t="s">
        <v>621</v>
      </c>
    </row>
    <row r="88" spans="1:7" x14ac:dyDescent="0.25">
      <c r="A88">
        <v>87</v>
      </c>
      <c r="B88" s="1">
        <v>46251</v>
      </c>
      <c r="C88" t="s">
        <v>656</v>
      </c>
      <c r="D88">
        <v>0.01</v>
      </c>
      <c r="E88" t="s">
        <v>657</v>
      </c>
      <c r="F88" t="s">
        <v>996</v>
      </c>
      <c r="G88" t="s">
        <v>621</v>
      </c>
    </row>
    <row r="89" spans="1:7" x14ac:dyDescent="0.25">
      <c r="A89">
        <v>88</v>
      </c>
      <c r="B89" s="1">
        <v>46251</v>
      </c>
      <c r="C89" t="s">
        <v>440</v>
      </c>
      <c r="D89">
        <v>0.01</v>
      </c>
      <c r="E89" t="s">
        <v>441</v>
      </c>
      <c r="F89" t="s">
        <v>996</v>
      </c>
      <c r="G89" t="s">
        <v>421</v>
      </c>
    </row>
    <row r="90" spans="1:7" x14ac:dyDescent="0.25">
      <c r="A90">
        <v>89</v>
      </c>
      <c r="B90" s="1">
        <v>46251</v>
      </c>
      <c r="C90" t="s">
        <v>658</v>
      </c>
      <c r="D90">
        <v>0.01</v>
      </c>
      <c r="E90" t="s">
        <v>659</v>
      </c>
      <c r="F90" t="s">
        <v>996</v>
      </c>
      <c r="G90" t="s">
        <v>621</v>
      </c>
    </row>
    <row r="91" spans="1:7" x14ac:dyDescent="0.25">
      <c r="A91">
        <v>90</v>
      </c>
      <c r="B91" s="1">
        <v>46251</v>
      </c>
      <c r="C91" t="s">
        <v>660</v>
      </c>
      <c r="D91">
        <v>0.01</v>
      </c>
      <c r="E91" t="s">
        <v>661</v>
      </c>
      <c r="F91" t="s">
        <v>996</v>
      </c>
      <c r="G91" t="s">
        <v>621</v>
      </c>
    </row>
    <row r="92" spans="1:7" x14ac:dyDescent="0.25">
      <c r="A92">
        <v>91</v>
      </c>
      <c r="B92" s="1">
        <v>46251</v>
      </c>
      <c r="C92" t="s">
        <v>662</v>
      </c>
      <c r="D92">
        <v>0.01</v>
      </c>
      <c r="E92" t="s">
        <v>663</v>
      </c>
      <c r="F92" t="s">
        <v>996</v>
      </c>
      <c r="G92" t="s">
        <v>621</v>
      </c>
    </row>
    <row r="93" spans="1:7" x14ac:dyDescent="0.25">
      <c r="A93">
        <v>92</v>
      </c>
      <c r="B93" s="1">
        <v>46251</v>
      </c>
      <c r="C93" t="s">
        <v>664</v>
      </c>
      <c r="D93">
        <v>0.01</v>
      </c>
      <c r="E93" t="s">
        <v>665</v>
      </c>
      <c r="F93" t="s">
        <v>996</v>
      </c>
      <c r="G93" t="s">
        <v>621</v>
      </c>
    </row>
    <row r="94" spans="1:7" x14ac:dyDescent="0.25">
      <c r="A94">
        <v>93</v>
      </c>
      <c r="B94" s="1">
        <v>46251</v>
      </c>
      <c r="C94" t="s">
        <v>666</v>
      </c>
      <c r="D94">
        <v>0.01</v>
      </c>
      <c r="E94" t="s">
        <v>667</v>
      </c>
      <c r="F94" t="s">
        <v>996</v>
      </c>
      <c r="G94" t="s">
        <v>621</v>
      </c>
    </row>
    <row r="95" spans="1:7" x14ac:dyDescent="0.25">
      <c r="A95">
        <v>94</v>
      </c>
      <c r="B95" s="1">
        <v>46251</v>
      </c>
      <c r="C95" t="s">
        <v>668</v>
      </c>
      <c r="D95">
        <v>0.01</v>
      </c>
      <c r="E95" t="s">
        <v>669</v>
      </c>
      <c r="F95" t="s">
        <v>996</v>
      </c>
      <c r="G95" t="s">
        <v>621</v>
      </c>
    </row>
    <row r="96" spans="1:7" x14ac:dyDescent="0.25">
      <c r="A96">
        <v>95</v>
      </c>
      <c r="B96" s="1">
        <v>46251</v>
      </c>
      <c r="C96" t="s">
        <v>291</v>
      </c>
      <c r="D96">
        <v>0.01</v>
      </c>
      <c r="E96" t="s">
        <v>292</v>
      </c>
      <c r="F96" t="s">
        <v>996</v>
      </c>
      <c r="G96" t="s">
        <v>224</v>
      </c>
    </row>
    <row r="97" spans="1:7" x14ac:dyDescent="0.25">
      <c r="A97">
        <v>96</v>
      </c>
      <c r="B97" s="1">
        <v>46251</v>
      </c>
      <c r="C97" t="s">
        <v>280</v>
      </c>
      <c r="D97">
        <v>0.01</v>
      </c>
      <c r="E97" t="s">
        <v>281</v>
      </c>
      <c r="F97" t="s">
        <v>996</v>
      </c>
      <c r="G97" t="s">
        <v>224</v>
      </c>
    </row>
    <row r="98" spans="1:7" x14ac:dyDescent="0.25">
      <c r="A98">
        <v>97</v>
      </c>
      <c r="B98" s="1">
        <v>46251</v>
      </c>
      <c r="C98" t="s">
        <v>307</v>
      </c>
      <c r="D98">
        <v>0.01</v>
      </c>
      <c r="E98" t="s">
        <v>308</v>
      </c>
      <c r="F98" t="s">
        <v>996</v>
      </c>
      <c r="G98" t="s">
        <v>224</v>
      </c>
    </row>
    <row r="99" spans="1:7" x14ac:dyDescent="0.25">
      <c r="A99">
        <v>98</v>
      </c>
      <c r="B99" s="1">
        <v>46251</v>
      </c>
      <c r="C99" t="s">
        <v>278</v>
      </c>
      <c r="D99">
        <v>0.01</v>
      </c>
      <c r="E99" t="s">
        <v>279</v>
      </c>
      <c r="F99" t="s">
        <v>996</v>
      </c>
      <c r="G99" t="s">
        <v>224</v>
      </c>
    </row>
    <row r="100" spans="1:7" x14ac:dyDescent="0.25">
      <c r="A100">
        <v>99</v>
      </c>
      <c r="B100" s="1">
        <v>46251</v>
      </c>
      <c r="C100" t="s">
        <v>267</v>
      </c>
      <c r="D100">
        <v>0.01</v>
      </c>
      <c r="E100" t="s">
        <v>268</v>
      </c>
      <c r="F100" t="s">
        <v>996</v>
      </c>
      <c r="G100" t="s">
        <v>224</v>
      </c>
    </row>
    <row r="101" spans="1:7" x14ac:dyDescent="0.25">
      <c r="A101">
        <v>100</v>
      </c>
      <c r="B101" s="1">
        <v>46251</v>
      </c>
      <c r="C101" t="s">
        <v>184</v>
      </c>
      <c r="D101">
        <v>0.01</v>
      </c>
      <c r="E101" t="s">
        <v>185</v>
      </c>
      <c r="F101" t="s">
        <v>996</v>
      </c>
      <c r="G101" t="s">
        <v>162</v>
      </c>
    </row>
    <row r="102" spans="1:7" x14ac:dyDescent="0.25">
      <c r="A102">
        <v>101</v>
      </c>
      <c r="B102" s="1">
        <v>46251</v>
      </c>
      <c r="C102" t="s">
        <v>186</v>
      </c>
      <c r="D102">
        <v>0.01</v>
      </c>
      <c r="E102" t="s">
        <v>187</v>
      </c>
      <c r="F102" t="s">
        <v>996</v>
      </c>
      <c r="G102" t="s">
        <v>162</v>
      </c>
    </row>
    <row r="103" spans="1:7" x14ac:dyDescent="0.25">
      <c r="A103">
        <v>102</v>
      </c>
      <c r="B103" s="1">
        <v>46251</v>
      </c>
      <c r="C103" t="s">
        <v>670</v>
      </c>
      <c r="D103">
        <v>0.01</v>
      </c>
      <c r="E103" t="s">
        <v>671</v>
      </c>
      <c r="F103" t="s">
        <v>996</v>
      </c>
      <c r="G103" t="s">
        <v>621</v>
      </c>
    </row>
    <row r="104" spans="1:7" x14ac:dyDescent="0.25">
      <c r="A104">
        <v>103</v>
      </c>
      <c r="B104" s="1">
        <v>46251</v>
      </c>
      <c r="C104" t="s">
        <v>188</v>
      </c>
      <c r="D104">
        <v>0.01</v>
      </c>
      <c r="E104" t="s">
        <v>189</v>
      </c>
      <c r="F104" t="s">
        <v>996</v>
      </c>
      <c r="G104" t="s">
        <v>162</v>
      </c>
    </row>
    <row r="105" spans="1:7" x14ac:dyDescent="0.25">
      <c r="A105">
        <v>104</v>
      </c>
      <c r="B105" s="1">
        <v>46251</v>
      </c>
      <c r="C105" t="s">
        <v>190</v>
      </c>
      <c r="D105">
        <v>0.01</v>
      </c>
      <c r="E105" t="s">
        <v>191</v>
      </c>
      <c r="F105" t="s">
        <v>1000</v>
      </c>
      <c r="G105" t="s">
        <v>162</v>
      </c>
    </row>
    <row r="106" spans="1:7" x14ac:dyDescent="0.25">
      <c r="A106">
        <v>105</v>
      </c>
      <c r="B106" s="1">
        <v>46251</v>
      </c>
      <c r="C106" t="s">
        <v>672</v>
      </c>
      <c r="D106">
        <v>0.01</v>
      </c>
      <c r="E106" t="s">
        <v>673</v>
      </c>
      <c r="F106" t="s">
        <v>996</v>
      </c>
      <c r="G106" t="s">
        <v>621</v>
      </c>
    </row>
    <row r="107" spans="1:7" x14ac:dyDescent="0.25">
      <c r="A107">
        <v>106</v>
      </c>
      <c r="B107" s="1">
        <v>46251</v>
      </c>
      <c r="C107" t="s">
        <v>192</v>
      </c>
      <c r="D107">
        <v>0.01</v>
      </c>
      <c r="E107" t="s">
        <v>193</v>
      </c>
      <c r="F107" t="s">
        <v>996</v>
      </c>
      <c r="G107" t="s">
        <v>162</v>
      </c>
    </row>
    <row r="108" spans="1:7" x14ac:dyDescent="0.25">
      <c r="A108">
        <v>107</v>
      </c>
      <c r="B108" s="1">
        <v>46251</v>
      </c>
      <c r="C108" t="s">
        <v>674</v>
      </c>
      <c r="D108">
        <v>0.01</v>
      </c>
      <c r="E108" t="s">
        <v>675</v>
      </c>
      <c r="F108" t="s">
        <v>996</v>
      </c>
      <c r="G108" t="s">
        <v>621</v>
      </c>
    </row>
    <row r="109" spans="1:7" x14ac:dyDescent="0.25">
      <c r="A109">
        <v>108</v>
      </c>
      <c r="B109" s="1">
        <v>46251</v>
      </c>
      <c r="C109" t="s">
        <v>676</v>
      </c>
      <c r="D109">
        <v>0.01</v>
      </c>
      <c r="E109" t="s">
        <v>677</v>
      </c>
      <c r="F109" t="s">
        <v>996</v>
      </c>
      <c r="G109" t="s">
        <v>621</v>
      </c>
    </row>
    <row r="110" spans="1:7" x14ac:dyDescent="0.25">
      <c r="A110">
        <v>109</v>
      </c>
      <c r="B110" s="1">
        <v>46251</v>
      </c>
      <c r="C110" t="s">
        <v>194</v>
      </c>
      <c r="D110">
        <v>0.01</v>
      </c>
      <c r="E110" t="s">
        <v>195</v>
      </c>
      <c r="F110" t="s">
        <v>996</v>
      </c>
      <c r="G110" t="s">
        <v>162</v>
      </c>
    </row>
    <row r="111" spans="1:7" x14ac:dyDescent="0.25">
      <c r="A111">
        <v>110</v>
      </c>
      <c r="B111" s="1">
        <v>46251</v>
      </c>
      <c r="C111" t="s">
        <v>196</v>
      </c>
      <c r="D111">
        <v>0.01</v>
      </c>
      <c r="E111" t="s">
        <v>197</v>
      </c>
      <c r="F111" t="s">
        <v>996</v>
      </c>
      <c r="G111" t="s">
        <v>162</v>
      </c>
    </row>
    <row r="112" spans="1:7" x14ac:dyDescent="0.25">
      <c r="A112">
        <v>111</v>
      </c>
      <c r="B112" s="1">
        <v>46251</v>
      </c>
      <c r="C112" t="s">
        <v>337</v>
      </c>
      <c r="D112">
        <v>0.01</v>
      </c>
      <c r="E112" t="s">
        <v>338</v>
      </c>
      <c r="F112" t="s">
        <v>996</v>
      </c>
      <c r="G112" t="s">
        <v>224</v>
      </c>
    </row>
    <row r="113" spans="1:7" x14ac:dyDescent="0.25">
      <c r="A113">
        <v>112</v>
      </c>
      <c r="B113" s="1">
        <v>46251</v>
      </c>
      <c r="C113" t="s">
        <v>198</v>
      </c>
      <c r="D113">
        <v>0.01</v>
      </c>
      <c r="E113" t="s">
        <v>199</v>
      </c>
      <c r="F113" t="s">
        <v>996</v>
      </c>
      <c r="G113" t="s">
        <v>162</v>
      </c>
    </row>
    <row r="114" spans="1:7" x14ac:dyDescent="0.25">
      <c r="A114">
        <v>113</v>
      </c>
      <c r="B114" s="1">
        <v>46251</v>
      </c>
      <c r="C114" t="s">
        <v>200</v>
      </c>
      <c r="D114">
        <v>0.01</v>
      </c>
      <c r="E114" t="s">
        <v>201</v>
      </c>
      <c r="F114" t="s">
        <v>996</v>
      </c>
      <c r="G114" t="s">
        <v>162</v>
      </c>
    </row>
    <row r="115" spans="1:7" x14ac:dyDescent="0.25">
      <c r="A115">
        <v>114</v>
      </c>
      <c r="B115" s="1">
        <v>46251</v>
      </c>
      <c r="C115" t="s">
        <v>202</v>
      </c>
      <c r="D115">
        <v>0.01</v>
      </c>
      <c r="E115" t="s">
        <v>203</v>
      </c>
      <c r="F115" t="s">
        <v>996</v>
      </c>
      <c r="G115" t="s">
        <v>162</v>
      </c>
    </row>
    <row r="116" spans="1:7" x14ac:dyDescent="0.25">
      <c r="A116">
        <v>115</v>
      </c>
      <c r="B116" s="1">
        <v>46251</v>
      </c>
      <c r="C116" t="s">
        <v>285</v>
      </c>
      <c r="D116">
        <v>0.01</v>
      </c>
      <c r="E116" t="s">
        <v>286</v>
      </c>
      <c r="F116" t="s">
        <v>996</v>
      </c>
      <c r="G116" t="s">
        <v>224</v>
      </c>
    </row>
    <row r="117" spans="1:7" x14ac:dyDescent="0.25">
      <c r="A117">
        <v>116</v>
      </c>
      <c r="B117" s="1">
        <v>46251</v>
      </c>
      <c r="C117" t="s">
        <v>284</v>
      </c>
      <c r="D117">
        <v>0.01</v>
      </c>
      <c r="E117" t="s">
        <v>183</v>
      </c>
      <c r="F117" t="s">
        <v>996</v>
      </c>
      <c r="G117" t="s">
        <v>224</v>
      </c>
    </row>
    <row r="118" spans="1:7" x14ac:dyDescent="0.25">
      <c r="A118">
        <v>117</v>
      </c>
      <c r="B118" s="1">
        <v>46251</v>
      </c>
      <c r="C118" t="s">
        <v>287</v>
      </c>
      <c r="D118">
        <v>0.01</v>
      </c>
      <c r="E118" t="s">
        <v>288</v>
      </c>
      <c r="F118" t="s">
        <v>996</v>
      </c>
      <c r="G118" t="s">
        <v>224</v>
      </c>
    </row>
    <row r="119" spans="1:7" x14ac:dyDescent="0.25">
      <c r="A119">
        <v>118</v>
      </c>
      <c r="B119" s="1">
        <v>46251</v>
      </c>
      <c r="C119" t="s">
        <v>678</v>
      </c>
      <c r="D119">
        <v>0.01</v>
      </c>
      <c r="E119" t="s">
        <v>679</v>
      </c>
      <c r="F119" t="s">
        <v>996</v>
      </c>
      <c r="G119" t="s">
        <v>621</v>
      </c>
    </row>
    <row r="120" spans="1:7" x14ac:dyDescent="0.25">
      <c r="A120">
        <v>119</v>
      </c>
      <c r="B120" s="1">
        <v>46251</v>
      </c>
      <c r="C120" t="s">
        <v>204</v>
      </c>
      <c r="D120">
        <v>0.01</v>
      </c>
      <c r="E120" t="s">
        <v>205</v>
      </c>
      <c r="F120" t="s">
        <v>996</v>
      </c>
      <c r="G120" t="s">
        <v>162</v>
      </c>
    </row>
    <row r="121" spans="1:7" x14ac:dyDescent="0.25">
      <c r="A121">
        <v>120</v>
      </c>
      <c r="B121" s="1">
        <v>46251</v>
      </c>
      <c r="C121" t="s">
        <v>680</v>
      </c>
      <c r="D121">
        <v>0.01</v>
      </c>
      <c r="E121" t="s">
        <v>681</v>
      </c>
      <c r="F121" t="s">
        <v>996</v>
      </c>
      <c r="G121" t="s">
        <v>621</v>
      </c>
    </row>
    <row r="122" spans="1:7" x14ac:dyDescent="0.25">
      <c r="A122">
        <v>121</v>
      </c>
      <c r="B122" s="1">
        <v>46251</v>
      </c>
      <c r="C122" t="s">
        <v>206</v>
      </c>
      <c r="D122">
        <v>0.01</v>
      </c>
      <c r="E122" t="s">
        <v>207</v>
      </c>
      <c r="F122" t="s">
        <v>996</v>
      </c>
      <c r="G122" t="s">
        <v>162</v>
      </c>
    </row>
    <row r="123" spans="1:7" x14ac:dyDescent="0.25">
      <c r="A123">
        <v>122</v>
      </c>
      <c r="B123" s="1">
        <v>46251</v>
      </c>
      <c r="C123" t="s">
        <v>682</v>
      </c>
      <c r="D123">
        <v>0.01</v>
      </c>
      <c r="E123" t="s">
        <v>683</v>
      </c>
      <c r="F123" t="s">
        <v>996</v>
      </c>
      <c r="G123" t="s">
        <v>621</v>
      </c>
    </row>
    <row r="124" spans="1:7" x14ac:dyDescent="0.25">
      <c r="A124">
        <v>123</v>
      </c>
      <c r="B124" s="1">
        <v>46251</v>
      </c>
      <c r="C124" t="s">
        <v>684</v>
      </c>
      <c r="D124">
        <v>0.01</v>
      </c>
      <c r="E124" t="s">
        <v>685</v>
      </c>
      <c r="F124" t="s">
        <v>996</v>
      </c>
      <c r="G124" t="s">
        <v>621</v>
      </c>
    </row>
    <row r="125" spans="1:7" x14ac:dyDescent="0.25">
      <c r="A125">
        <v>124</v>
      </c>
      <c r="B125" s="1">
        <v>46251</v>
      </c>
      <c r="C125" t="s">
        <v>686</v>
      </c>
      <c r="D125">
        <v>0.01</v>
      </c>
      <c r="E125" t="s">
        <v>687</v>
      </c>
      <c r="F125" t="s">
        <v>996</v>
      </c>
      <c r="G125" t="s">
        <v>621</v>
      </c>
    </row>
    <row r="126" spans="1:7" x14ac:dyDescent="0.25">
      <c r="A126">
        <v>125</v>
      </c>
      <c r="B126" s="1">
        <v>46251</v>
      </c>
      <c r="C126" t="s">
        <v>688</v>
      </c>
      <c r="D126">
        <v>0.01</v>
      </c>
      <c r="E126" t="s">
        <v>689</v>
      </c>
      <c r="F126" t="s">
        <v>996</v>
      </c>
      <c r="G126" t="s">
        <v>621</v>
      </c>
    </row>
    <row r="127" spans="1:7" x14ac:dyDescent="0.25">
      <c r="A127">
        <v>126</v>
      </c>
      <c r="B127" s="1">
        <v>46251</v>
      </c>
      <c r="C127" t="s">
        <v>690</v>
      </c>
      <c r="D127">
        <v>0.01</v>
      </c>
      <c r="E127" t="s">
        <v>691</v>
      </c>
      <c r="F127" t="s">
        <v>996</v>
      </c>
      <c r="G127" t="s">
        <v>621</v>
      </c>
    </row>
    <row r="128" spans="1:7" x14ac:dyDescent="0.25">
      <c r="A128">
        <v>127</v>
      </c>
      <c r="B128" s="1">
        <v>46251</v>
      </c>
      <c r="C128" t="s">
        <v>692</v>
      </c>
      <c r="D128">
        <v>0.01</v>
      </c>
      <c r="E128" t="s">
        <v>693</v>
      </c>
      <c r="F128" t="s">
        <v>1003</v>
      </c>
      <c r="G128" t="s">
        <v>694</v>
      </c>
    </row>
    <row r="129" spans="1:7" x14ac:dyDescent="0.25">
      <c r="A129">
        <v>128</v>
      </c>
      <c r="B129" s="1">
        <v>46251</v>
      </c>
      <c r="C129" t="s">
        <v>349</v>
      </c>
      <c r="D129">
        <v>0.01</v>
      </c>
      <c r="E129" t="s">
        <v>330</v>
      </c>
      <c r="F129" t="s">
        <v>1000</v>
      </c>
      <c r="G129" t="s">
        <v>224</v>
      </c>
    </row>
    <row r="130" spans="1:7" x14ac:dyDescent="0.25">
      <c r="A130">
        <v>129</v>
      </c>
      <c r="B130" s="1">
        <v>46251</v>
      </c>
      <c r="C130" t="s">
        <v>695</v>
      </c>
      <c r="D130">
        <v>0.01</v>
      </c>
      <c r="E130" t="s">
        <v>696</v>
      </c>
      <c r="F130" t="s">
        <v>996</v>
      </c>
      <c r="G130" t="s">
        <v>621</v>
      </c>
    </row>
    <row r="131" spans="1:7" x14ac:dyDescent="0.25">
      <c r="A131">
        <v>130</v>
      </c>
      <c r="B131" s="1">
        <v>46251</v>
      </c>
      <c r="C131" t="s">
        <v>697</v>
      </c>
      <c r="D131">
        <v>0.01</v>
      </c>
      <c r="E131" t="s">
        <v>698</v>
      </c>
      <c r="F131" t="s">
        <v>996</v>
      </c>
      <c r="G131" t="s">
        <v>621</v>
      </c>
    </row>
    <row r="132" spans="1:7" x14ac:dyDescent="0.25">
      <c r="A132">
        <v>131</v>
      </c>
      <c r="B132" s="1">
        <v>46251</v>
      </c>
      <c r="C132" t="s">
        <v>43</v>
      </c>
      <c r="D132">
        <v>0.01</v>
      </c>
      <c r="E132" t="s">
        <v>44</v>
      </c>
      <c r="F132" t="s">
        <v>996</v>
      </c>
    </row>
    <row r="133" spans="1:7" x14ac:dyDescent="0.25">
      <c r="A133">
        <v>132</v>
      </c>
      <c r="B133" s="1">
        <v>46251</v>
      </c>
      <c r="C133" t="s">
        <v>699</v>
      </c>
      <c r="D133">
        <v>0.01</v>
      </c>
      <c r="E133" t="s">
        <v>700</v>
      </c>
      <c r="F133" t="s">
        <v>996</v>
      </c>
      <c r="G133" t="s">
        <v>621</v>
      </c>
    </row>
    <row r="134" spans="1:7" x14ac:dyDescent="0.25">
      <c r="A134">
        <v>133</v>
      </c>
      <c r="B134" s="1">
        <v>46251</v>
      </c>
      <c r="C134" t="s">
        <v>0</v>
      </c>
      <c r="D134">
        <v>0.01</v>
      </c>
      <c r="E134" t="s">
        <v>510</v>
      </c>
      <c r="F134" t="s">
        <v>1004</v>
      </c>
      <c r="G134" t="s">
        <v>504</v>
      </c>
    </row>
    <row r="135" spans="1:7" x14ac:dyDescent="0.25">
      <c r="A135">
        <v>134</v>
      </c>
      <c r="B135" s="1">
        <v>46251</v>
      </c>
      <c r="C135" t="s">
        <v>282</v>
      </c>
      <c r="D135">
        <v>0.01</v>
      </c>
      <c r="E135" t="s">
        <v>283</v>
      </c>
      <c r="F135" t="s">
        <v>996</v>
      </c>
      <c r="G135" t="s">
        <v>224</v>
      </c>
    </row>
    <row r="136" spans="1:7" x14ac:dyDescent="0.25">
      <c r="A136">
        <v>135</v>
      </c>
      <c r="B136" s="1">
        <v>46251</v>
      </c>
      <c r="C136" t="s">
        <v>701</v>
      </c>
      <c r="D136">
        <v>0.01</v>
      </c>
      <c r="E136" t="s">
        <v>702</v>
      </c>
      <c r="F136" t="s">
        <v>996</v>
      </c>
      <c r="G136" t="s">
        <v>621</v>
      </c>
    </row>
    <row r="137" spans="1:7" x14ac:dyDescent="0.25">
      <c r="A137">
        <v>136</v>
      </c>
      <c r="B137" s="1">
        <v>46251</v>
      </c>
      <c r="C137" t="s">
        <v>703</v>
      </c>
      <c r="D137">
        <v>0.01</v>
      </c>
      <c r="E137" t="s">
        <v>4</v>
      </c>
      <c r="F137" t="s">
        <v>996</v>
      </c>
      <c r="G137" t="s">
        <v>162</v>
      </c>
    </row>
    <row r="138" spans="1:7" x14ac:dyDescent="0.25">
      <c r="A138">
        <v>137</v>
      </c>
      <c r="B138" s="1">
        <v>46251</v>
      </c>
      <c r="C138" t="s">
        <v>704</v>
      </c>
      <c r="D138">
        <v>0.01</v>
      </c>
      <c r="E138" t="s">
        <v>705</v>
      </c>
      <c r="F138" t="s">
        <v>996</v>
      </c>
      <c r="G138" t="s">
        <v>621</v>
      </c>
    </row>
    <row r="139" spans="1:7" x14ac:dyDescent="0.25">
      <c r="A139">
        <v>138</v>
      </c>
      <c r="B139" s="1">
        <v>46251</v>
      </c>
      <c r="C139" t="s">
        <v>706</v>
      </c>
      <c r="D139">
        <v>0.01</v>
      </c>
      <c r="E139" t="s">
        <v>707</v>
      </c>
      <c r="F139" t="s">
        <v>996</v>
      </c>
      <c r="G139" t="s">
        <v>621</v>
      </c>
    </row>
    <row r="140" spans="1:7" x14ac:dyDescent="0.25">
      <c r="A140">
        <v>139</v>
      </c>
      <c r="B140" s="1">
        <v>46251</v>
      </c>
      <c r="C140" t="s">
        <v>708</v>
      </c>
      <c r="D140">
        <v>0.01</v>
      </c>
      <c r="E140" t="s">
        <v>709</v>
      </c>
      <c r="F140" t="s">
        <v>996</v>
      </c>
      <c r="G140" t="s">
        <v>621</v>
      </c>
    </row>
    <row r="141" spans="1:7" x14ac:dyDescent="0.25">
      <c r="A141">
        <v>140</v>
      </c>
      <c r="B141" s="1">
        <v>46251</v>
      </c>
      <c r="C141" t="s">
        <v>710</v>
      </c>
      <c r="D141">
        <v>0.01</v>
      </c>
      <c r="E141" t="s">
        <v>487</v>
      </c>
      <c r="F141" t="s">
        <v>996</v>
      </c>
      <c r="G141" t="s">
        <v>487</v>
      </c>
    </row>
    <row r="142" spans="1:7" x14ac:dyDescent="0.25">
      <c r="A142">
        <v>141</v>
      </c>
      <c r="B142" s="1">
        <v>46251</v>
      </c>
      <c r="C142" t="s">
        <v>711</v>
      </c>
      <c r="D142">
        <v>0.01</v>
      </c>
      <c r="E142" t="s">
        <v>712</v>
      </c>
      <c r="F142" t="s">
        <v>996</v>
      </c>
      <c r="G142" t="s">
        <v>713</v>
      </c>
    </row>
    <row r="143" spans="1:7" x14ac:dyDescent="0.25">
      <c r="A143">
        <v>142</v>
      </c>
      <c r="B143" s="1">
        <v>46251</v>
      </c>
      <c r="C143" t="s">
        <v>714</v>
      </c>
      <c r="D143">
        <v>0.01</v>
      </c>
      <c r="E143" t="s">
        <v>715</v>
      </c>
      <c r="F143" t="s">
        <v>996</v>
      </c>
      <c r="G143" t="s">
        <v>224</v>
      </c>
    </row>
    <row r="144" spans="1:7" x14ac:dyDescent="0.25">
      <c r="A144">
        <v>143</v>
      </c>
      <c r="B144" s="1">
        <v>46251</v>
      </c>
      <c r="C144" t="s">
        <v>716</v>
      </c>
      <c r="D144">
        <v>0.01</v>
      </c>
      <c r="E144" t="s">
        <v>717</v>
      </c>
      <c r="F144" t="s">
        <v>996</v>
      </c>
      <c r="G144" t="s">
        <v>621</v>
      </c>
    </row>
    <row r="145" spans="1:7" x14ac:dyDescent="0.25">
      <c r="A145">
        <v>144</v>
      </c>
      <c r="B145" s="1">
        <v>46251</v>
      </c>
      <c r="C145" t="s">
        <v>718</v>
      </c>
      <c r="D145">
        <v>0.01</v>
      </c>
      <c r="E145" t="s">
        <v>719</v>
      </c>
      <c r="F145" t="s">
        <v>996</v>
      </c>
      <c r="G145" t="s">
        <v>713</v>
      </c>
    </row>
    <row r="146" spans="1:7" x14ac:dyDescent="0.25">
      <c r="A146">
        <v>145</v>
      </c>
      <c r="B146" s="1">
        <v>46251</v>
      </c>
      <c r="C146" t="s">
        <v>720</v>
      </c>
      <c r="D146">
        <v>0.01</v>
      </c>
      <c r="E146" t="s">
        <v>721</v>
      </c>
      <c r="F146" t="s">
        <v>996</v>
      </c>
      <c r="G146" t="s">
        <v>713</v>
      </c>
    </row>
    <row r="147" spans="1:7" x14ac:dyDescent="0.25">
      <c r="A147">
        <v>146</v>
      </c>
      <c r="B147" s="1">
        <v>46251</v>
      </c>
      <c r="C147" t="s">
        <v>722</v>
      </c>
      <c r="D147">
        <v>0.01</v>
      </c>
      <c r="E147" t="s">
        <v>723</v>
      </c>
      <c r="F147" t="s">
        <v>996</v>
      </c>
      <c r="G147" t="s">
        <v>487</v>
      </c>
    </row>
    <row r="148" spans="1:7" x14ac:dyDescent="0.25">
      <c r="A148">
        <v>147</v>
      </c>
      <c r="B148" s="1">
        <v>46251</v>
      </c>
      <c r="C148" t="s">
        <v>724</v>
      </c>
      <c r="D148">
        <v>0.01</v>
      </c>
      <c r="E148" t="s">
        <v>725</v>
      </c>
      <c r="F148" t="s">
        <v>996</v>
      </c>
      <c r="G148" t="s">
        <v>487</v>
      </c>
    </row>
    <row r="149" spans="1:7" x14ac:dyDescent="0.25">
      <c r="A149">
        <v>148</v>
      </c>
      <c r="B149" s="1">
        <v>46251</v>
      </c>
      <c r="C149" t="s">
        <v>726</v>
      </c>
      <c r="D149">
        <v>0.01</v>
      </c>
      <c r="E149" t="s">
        <v>727</v>
      </c>
      <c r="F149" t="s">
        <v>996</v>
      </c>
      <c r="G149" t="s">
        <v>487</v>
      </c>
    </row>
    <row r="150" spans="1:7" x14ac:dyDescent="0.25">
      <c r="A150">
        <v>149</v>
      </c>
      <c r="B150" s="1">
        <v>46251</v>
      </c>
      <c r="C150" t="s">
        <v>728</v>
      </c>
      <c r="D150">
        <v>0.01</v>
      </c>
      <c r="E150" t="s">
        <v>729</v>
      </c>
      <c r="F150" t="s">
        <v>996</v>
      </c>
      <c r="G150" t="s">
        <v>621</v>
      </c>
    </row>
    <row r="151" spans="1:7" x14ac:dyDescent="0.25">
      <c r="A151">
        <v>150</v>
      </c>
      <c r="B151" s="1">
        <v>46251</v>
      </c>
      <c r="C151" t="s">
        <v>730</v>
      </c>
      <c r="D151">
        <v>0.01</v>
      </c>
      <c r="E151" t="s">
        <v>731</v>
      </c>
      <c r="F151" t="s">
        <v>996</v>
      </c>
      <c r="G151" t="s">
        <v>224</v>
      </c>
    </row>
    <row r="152" spans="1:7" x14ac:dyDescent="0.25">
      <c r="A152">
        <v>151</v>
      </c>
      <c r="B152" s="1">
        <v>46251</v>
      </c>
      <c r="C152" t="s">
        <v>732</v>
      </c>
      <c r="D152">
        <v>0.01</v>
      </c>
      <c r="E152" t="s">
        <v>733</v>
      </c>
      <c r="F152" t="s">
        <v>996</v>
      </c>
      <c r="G152" t="s">
        <v>487</v>
      </c>
    </row>
    <row r="153" spans="1:7" x14ac:dyDescent="0.25">
      <c r="A153">
        <v>152</v>
      </c>
      <c r="B153" s="1">
        <v>46251</v>
      </c>
      <c r="C153" t="s">
        <v>734</v>
      </c>
      <c r="D153">
        <v>0.01</v>
      </c>
      <c r="E153" t="s">
        <v>735</v>
      </c>
      <c r="F153" t="s">
        <v>996</v>
      </c>
      <c r="G153" t="s">
        <v>713</v>
      </c>
    </row>
    <row r="154" spans="1:7" x14ac:dyDescent="0.25">
      <c r="A154">
        <v>153</v>
      </c>
      <c r="B154" s="1">
        <v>46251</v>
      </c>
      <c r="C154" t="s">
        <v>736</v>
      </c>
      <c r="D154">
        <v>0.01</v>
      </c>
      <c r="E154" t="s">
        <v>737</v>
      </c>
      <c r="F154" t="s">
        <v>996</v>
      </c>
      <c r="G154" t="s">
        <v>224</v>
      </c>
    </row>
    <row r="155" spans="1:7" x14ac:dyDescent="0.25">
      <c r="A155">
        <v>154</v>
      </c>
      <c r="B155" s="1">
        <v>46251</v>
      </c>
      <c r="C155" t="s">
        <v>738</v>
      </c>
      <c r="D155">
        <v>0.01</v>
      </c>
      <c r="E155" t="s">
        <v>739</v>
      </c>
      <c r="F155" t="s">
        <v>996</v>
      </c>
      <c r="G155" t="s">
        <v>487</v>
      </c>
    </row>
    <row r="156" spans="1:7" x14ac:dyDescent="0.25">
      <c r="A156">
        <v>155</v>
      </c>
      <c r="B156" s="1">
        <v>46251</v>
      </c>
      <c r="C156" t="s">
        <v>740</v>
      </c>
      <c r="D156">
        <v>0.01</v>
      </c>
      <c r="E156" t="s">
        <v>741</v>
      </c>
      <c r="F156" t="s">
        <v>996</v>
      </c>
      <c r="G156" t="s">
        <v>713</v>
      </c>
    </row>
    <row r="157" spans="1:7" x14ac:dyDescent="0.25">
      <c r="A157">
        <v>156</v>
      </c>
      <c r="B157" s="1">
        <v>46251</v>
      </c>
      <c r="C157" t="s">
        <v>742</v>
      </c>
      <c r="D157">
        <v>0.01</v>
      </c>
      <c r="E157" t="s">
        <v>743</v>
      </c>
      <c r="F157" t="s">
        <v>996</v>
      </c>
      <c r="G157" t="s">
        <v>224</v>
      </c>
    </row>
    <row r="158" spans="1:7" x14ac:dyDescent="0.25">
      <c r="A158">
        <v>157</v>
      </c>
      <c r="B158" s="1">
        <v>46251</v>
      </c>
      <c r="C158" t="s">
        <v>744</v>
      </c>
      <c r="D158">
        <v>0.01</v>
      </c>
      <c r="E158" t="s">
        <v>745</v>
      </c>
      <c r="F158" t="s">
        <v>996</v>
      </c>
      <c r="G158" t="s">
        <v>713</v>
      </c>
    </row>
    <row r="159" spans="1:7" x14ac:dyDescent="0.25">
      <c r="A159">
        <v>158</v>
      </c>
      <c r="B159" s="1">
        <v>46251</v>
      </c>
      <c r="C159" t="s">
        <v>746</v>
      </c>
      <c r="D159">
        <v>0.01</v>
      </c>
      <c r="E159" t="s">
        <v>747</v>
      </c>
      <c r="F159" t="s">
        <v>996</v>
      </c>
      <c r="G159" t="s">
        <v>713</v>
      </c>
    </row>
    <row r="160" spans="1:7" x14ac:dyDescent="0.25">
      <c r="A160">
        <v>159</v>
      </c>
      <c r="B160" s="1">
        <v>46251</v>
      </c>
      <c r="C160" t="s">
        <v>748</v>
      </c>
      <c r="D160">
        <v>0.01</v>
      </c>
      <c r="E160" t="s">
        <v>749</v>
      </c>
      <c r="F160" t="s">
        <v>996</v>
      </c>
      <c r="G160" t="s">
        <v>621</v>
      </c>
    </row>
    <row r="161" spans="1:7" x14ac:dyDescent="0.25">
      <c r="A161">
        <v>160</v>
      </c>
      <c r="B161" s="1">
        <v>46251</v>
      </c>
      <c r="C161" t="s">
        <v>750</v>
      </c>
      <c r="D161">
        <v>0.01</v>
      </c>
      <c r="E161" t="s">
        <v>751</v>
      </c>
      <c r="F161" t="s">
        <v>996</v>
      </c>
      <c r="G161" t="s">
        <v>621</v>
      </c>
    </row>
    <row r="162" spans="1:7" x14ac:dyDescent="0.25">
      <c r="A162">
        <v>161</v>
      </c>
      <c r="B162" s="1">
        <v>46251</v>
      </c>
      <c r="C162" t="s">
        <v>752</v>
      </c>
      <c r="D162">
        <v>0.01</v>
      </c>
      <c r="E162" t="s">
        <v>753</v>
      </c>
      <c r="F162" t="s">
        <v>996</v>
      </c>
      <c r="G162" t="s">
        <v>224</v>
      </c>
    </row>
    <row r="163" spans="1:7" x14ac:dyDescent="0.25">
      <c r="A163">
        <v>162</v>
      </c>
      <c r="B163" s="1">
        <v>46251</v>
      </c>
      <c r="C163" t="s">
        <v>754</v>
      </c>
      <c r="D163">
        <v>0.01</v>
      </c>
      <c r="E163" t="s">
        <v>755</v>
      </c>
      <c r="F163" t="s">
        <v>996</v>
      </c>
      <c r="G163" t="s">
        <v>621</v>
      </c>
    </row>
    <row r="164" spans="1:7" x14ac:dyDescent="0.25">
      <c r="A164">
        <v>163</v>
      </c>
      <c r="B164" s="1">
        <v>46251</v>
      </c>
      <c r="C164" t="s">
        <v>756</v>
      </c>
      <c r="D164">
        <v>0.01</v>
      </c>
      <c r="E164" t="s">
        <v>757</v>
      </c>
      <c r="F164" t="s">
        <v>996</v>
      </c>
      <c r="G164" t="s">
        <v>621</v>
      </c>
    </row>
    <row r="165" spans="1:7" x14ac:dyDescent="0.25">
      <c r="A165">
        <v>164</v>
      </c>
      <c r="B165" s="1">
        <v>46251</v>
      </c>
      <c r="C165" t="s">
        <v>758</v>
      </c>
      <c r="D165">
        <v>0.01</v>
      </c>
      <c r="E165" t="s">
        <v>759</v>
      </c>
      <c r="F165" t="s">
        <v>996</v>
      </c>
      <c r="G165" t="s">
        <v>621</v>
      </c>
    </row>
    <row r="166" spans="1:7" x14ac:dyDescent="0.25">
      <c r="A166">
        <v>165</v>
      </c>
      <c r="B166" s="1">
        <v>46251</v>
      </c>
      <c r="C166" t="s">
        <v>760</v>
      </c>
      <c r="D166">
        <v>0.01</v>
      </c>
      <c r="E166" t="s">
        <v>761</v>
      </c>
      <c r="F166" t="s">
        <v>996</v>
      </c>
      <c r="G166" t="s">
        <v>621</v>
      </c>
    </row>
    <row r="167" spans="1:7" x14ac:dyDescent="0.25">
      <c r="A167">
        <v>166</v>
      </c>
      <c r="B167" s="1">
        <v>46251</v>
      </c>
      <c r="C167" t="s">
        <v>492</v>
      </c>
      <c r="D167">
        <v>0.01</v>
      </c>
      <c r="E167" t="s">
        <v>493</v>
      </c>
      <c r="F167" t="s">
        <v>1005</v>
      </c>
      <c r="G167" t="s">
        <v>487</v>
      </c>
    </row>
    <row r="168" spans="1:7" x14ac:dyDescent="0.25">
      <c r="A168">
        <v>167</v>
      </c>
      <c r="B168" s="1">
        <v>46251</v>
      </c>
      <c r="C168" t="s">
        <v>508</v>
      </c>
      <c r="D168">
        <v>0.01</v>
      </c>
      <c r="E168" t="s">
        <v>509</v>
      </c>
      <c r="F168" t="s">
        <v>1005</v>
      </c>
      <c r="G168" t="s">
        <v>504</v>
      </c>
    </row>
    <row r="169" spans="1:7" x14ac:dyDescent="0.25">
      <c r="A169">
        <v>168</v>
      </c>
      <c r="B169" s="1">
        <v>46251</v>
      </c>
      <c r="C169" t="s">
        <v>534</v>
      </c>
      <c r="D169">
        <v>0.01</v>
      </c>
      <c r="E169" t="s">
        <v>535</v>
      </c>
      <c r="F169" t="s">
        <v>1005</v>
      </c>
      <c r="G169" t="s">
        <v>533</v>
      </c>
    </row>
    <row r="170" spans="1:7" x14ac:dyDescent="0.25">
      <c r="A170">
        <v>169</v>
      </c>
      <c r="B170" s="1">
        <v>46251</v>
      </c>
      <c r="C170" t="s">
        <v>490</v>
      </c>
      <c r="D170">
        <v>0.01</v>
      </c>
      <c r="E170" t="s">
        <v>491</v>
      </c>
      <c r="F170" t="s">
        <v>1005</v>
      </c>
      <c r="G170" t="s">
        <v>487</v>
      </c>
    </row>
    <row r="171" spans="1:7" x14ac:dyDescent="0.25">
      <c r="A171">
        <v>170</v>
      </c>
      <c r="B171" s="1">
        <v>46251</v>
      </c>
      <c r="C171" t="s">
        <v>477</v>
      </c>
      <c r="D171">
        <v>0.01</v>
      </c>
      <c r="E171" t="s">
        <v>478</v>
      </c>
      <c r="F171" t="s">
        <v>996</v>
      </c>
      <c r="G171" t="s">
        <v>474</v>
      </c>
    </row>
    <row r="172" spans="1:7" x14ac:dyDescent="0.25">
      <c r="A172">
        <v>171</v>
      </c>
      <c r="B172" s="1">
        <v>46251</v>
      </c>
      <c r="C172" t="s">
        <v>762</v>
      </c>
      <c r="D172">
        <v>0.01</v>
      </c>
      <c r="E172" t="s">
        <v>763</v>
      </c>
      <c r="F172" t="s">
        <v>996</v>
      </c>
      <c r="G172" t="s">
        <v>621</v>
      </c>
    </row>
    <row r="173" spans="1:7" x14ac:dyDescent="0.25">
      <c r="A173">
        <v>172</v>
      </c>
      <c r="B173" s="1">
        <v>46251</v>
      </c>
      <c r="C173" t="s">
        <v>764</v>
      </c>
      <c r="D173">
        <v>0.01</v>
      </c>
      <c r="E173" t="s">
        <v>765</v>
      </c>
      <c r="F173" t="s">
        <v>1006</v>
      </c>
      <c r="G173" t="s">
        <v>651</v>
      </c>
    </row>
    <row r="174" spans="1:7" x14ac:dyDescent="0.25">
      <c r="A174">
        <v>173</v>
      </c>
      <c r="B174" s="1">
        <v>46251</v>
      </c>
      <c r="C174" t="s">
        <v>766</v>
      </c>
      <c r="D174">
        <v>0.01</v>
      </c>
      <c r="E174" t="s">
        <v>767</v>
      </c>
      <c r="F174" t="s">
        <v>1006</v>
      </c>
      <c r="G174" t="s">
        <v>621</v>
      </c>
    </row>
    <row r="175" spans="1:7" x14ac:dyDescent="0.25">
      <c r="A175">
        <v>174</v>
      </c>
      <c r="B175" s="1">
        <v>46251</v>
      </c>
      <c r="C175" t="s">
        <v>768</v>
      </c>
      <c r="D175">
        <v>0.01</v>
      </c>
      <c r="E175" t="s">
        <v>769</v>
      </c>
      <c r="F175" t="s">
        <v>1006</v>
      </c>
      <c r="G175" t="s">
        <v>621</v>
      </c>
    </row>
    <row r="176" spans="1:7" x14ac:dyDescent="0.25">
      <c r="A176">
        <v>175</v>
      </c>
      <c r="B176" s="1">
        <v>46251</v>
      </c>
      <c r="C176" t="s">
        <v>41</v>
      </c>
      <c r="D176">
        <v>0.01</v>
      </c>
      <c r="E176" t="s">
        <v>42</v>
      </c>
      <c r="F176" t="s">
        <v>996</v>
      </c>
    </row>
    <row r="177" spans="1:7" x14ac:dyDescent="0.25">
      <c r="A177">
        <v>176</v>
      </c>
      <c r="B177" s="1">
        <v>46251</v>
      </c>
      <c r="C177" t="s">
        <v>770</v>
      </c>
      <c r="D177">
        <v>0.01</v>
      </c>
      <c r="E177" t="s">
        <v>771</v>
      </c>
      <c r="F177" t="s">
        <v>996</v>
      </c>
      <c r="G177" t="s">
        <v>621</v>
      </c>
    </row>
    <row r="178" spans="1:7" x14ac:dyDescent="0.25">
      <c r="A178">
        <v>177</v>
      </c>
      <c r="B178" s="1">
        <v>46251</v>
      </c>
      <c r="C178" t="s">
        <v>772</v>
      </c>
      <c r="D178">
        <v>0.01</v>
      </c>
      <c r="E178" t="s">
        <v>773</v>
      </c>
      <c r="F178" t="s">
        <v>996</v>
      </c>
      <c r="G178" t="s">
        <v>162</v>
      </c>
    </row>
    <row r="179" spans="1:7" x14ac:dyDescent="0.25">
      <c r="A179">
        <v>178</v>
      </c>
      <c r="B179" s="1">
        <v>46251</v>
      </c>
      <c r="C179" t="s">
        <v>774</v>
      </c>
      <c r="D179">
        <v>0.01</v>
      </c>
      <c r="E179" t="s">
        <v>775</v>
      </c>
      <c r="F179" t="s">
        <v>1007</v>
      </c>
      <c r="G179" t="s">
        <v>651</v>
      </c>
    </row>
    <row r="180" spans="1:7" x14ac:dyDescent="0.25">
      <c r="A180">
        <v>179</v>
      </c>
      <c r="B180" s="1">
        <v>46251</v>
      </c>
      <c r="C180" t="s">
        <v>505</v>
      </c>
      <c r="D180">
        <v>0.01</v>
      </c>
      <c r="E180" t="s">
        <v>506</v>
      </c>
      <c r="F180" t="s">
        <v>996</v>
      </c>
      <c r="G180" t="s">
        <v>504</v>
      </c>
    </row>
    <row r="181" spans="1:7" x14ac:dyDescent="0.25">
      <c r="A181">
        <v>180</v>
      </c>
      <c r="B181" s="1">
        <v>46251</v>
      </c>
      <c r="C181" t="s">
        <v>163</v>
      </c>
      <c r="D181">
        <v>0.01</v>
      </c>
      <c r="E181" t="s">
        <v>164</v>
      </c>
      <c r="F181" t="s">
        <v>999</v>
      </c>
      <c r="G181" t="s">
        <v>162</v>
      </c>
    </row>
    <row r="182" spans="1:7" x14ac:dyDescent="0.25">
      <c r="A182">
        <v>181</v>
      </c>
      <c r="B182" s="1">
        <v>46251</v>
      </c>
      <c r="C182" t="s">
        <v>457</v>
      </c>
      <c r="D182">
        <v>0.01</v>
      </c>
      <c r="E182" t="s">
        <v>458</v>
      </c>
      <c r="F182" t="s">
        <v>1008</v>
      </c>
      <c r="G182" t="s">
        <v>452</v>
      </c>
    </row>
    <row r="183" spans="1:7" x14ac:dyDescent="0.25">
      <c r="A183">
        <v>182</v>
      </c>
      <c r="B183" s="1">
        <v>46251</v>
      </c>
      <c r="C183" t="s">
        <v>455</v>
      </c>
      <c r="D183">
        <v>0.01</v>
      </c>
      <c r="E183" t="s">
        <v>456</v>
      </c>
      <c r="F183" t="s">
        <v>1008</v>
      </c>
      <c r="G183" t="s">
        <v>452</v>
      </c>
    </row>
    <row r="184" spans="1:7" x14ac:dyDescent="0.25">
      <c r="A184">
        <v>183</v>
      </c>
      <c r="B184" s="1">
        <v>46251</v>
      </c>
      <c r="C184" t="s">
        <v>776</v>
      </c>
      <c r="D184">
        <v>0.01</v>
      </c>
      <c r="E184" t="s">
        <v>777</v>
      </c>
      <c r="F184" t="s">
        <v>996</v>
      </c>
      <c r="G184" t="s">
        <v>621</v>
      </c>
    </row>
    <row r="185" spans="1:7" x14ac:dyDescent="0.25">
      <c r="A185">
        <v>184</v>
      </c>
      <c r="B185" s="1">
        <v>46251</v>
      </c>
      <c r="C185" t="s">
        <v>778</v>
      </c>
      <c r="D185">
        <v>0.01</v>
      </c>
      <c r="E185" t="s">
        <v>779</v>
      </c>
      <c r="F185" t="s">
        <v>996</v>
      </c>
      <c r="G185" t="s">
        <v>621</v>
      </c>
    </row>
    <row r="186" spans="1:7" x14ac:dyDescent="0.25">
      <c r="A186">
        <v>185</v>
      </c>
      <c r="B186" s="1">
        <v>46251</v>
      </c>
      <c r="C186" t="s">
        <v>780</v>
      </c>
      <c r="D186">
        <v>0.01</v>
      </c>
      <c r="E186" t="s">
        <v>781</v>
      </c>
      <c r="F186" t="s">
        <v>996</v>
      </c>
      <c r="G186" t="s">
        <v>224</v>
      </c>
    </row>
    <row r="187" spans="1:7" x14ac:dyDescent="0.25">
      <c r="A187">
        <v>186</v>
      </c>
      <c r="B187" s="1">
        <v>46251</v>
      </c>
      <c r="C187" t="s">
        <v>782</v>
      </c>
      <c r="D187">
        <v>0.01</v>
      </c>
      <c r="E187" t="s">
        <v>783</v>
      </c>
      <c r="F187" t="s">
        <v>996</v>
      </c>
      <c r="G187" t="s">
        <v>621</v>
      </c>
    </row>
    <row r="188" spans="1:7" x14ac:dyDescent="0.25">
      <c r="A188">
        <v>187</v>
      </c>
      <c r="B188" s="1">
        <v>46251</v>
      </c>
      <c r="C188" t="s">
        <v>459</v>
      </c>
      <c r="D188">
        <v>0.01</v>
      </c>
      <c r="E188" t="s">
        <v>460</v>
      </c>
      <c r="F188" t="s">
        <v>996</v>
      </c>
      <c r="G188" t="s">
        <v>452</v>
      </c>
    </row>
    <row r="189" spans="1:7" x14ac:dyDescent="0.25">
      <c r="A189">
        <v>188</v>
      </c>
      <c r="B189" s="1">
        <v>46251</v>
      </c>
      <c r="C189" t="s">
        <v>784</v>
      </c>
      <c r="D189">
        <v>0.01</v>
      </c>
      <c r="E189" t="s">
        <v>785</v>
      </c>
      <c r="F189" t="s">
        <v>996</v>
      </c>
      <c r="G189" t="s">
        <v>224</v>
      </c>
    </row>
    <row r="190" spans="1:7" x14ac:dyDescent="0.25">
      <c r="A190">
        <v>189</v>
      </c>
      <c r="B190" s="1">
        <v>46251</v>
      </c>
      <c r="C190" t="s">
        <v>786</v>
      </c>
      <c r="D190">
        <v>0.01</v>
      </c>
      <c r="E190" t="s">
        <v>787</v>
      </c>
      <c r="F190" t="s">
        <v>996</v>
      </c>
      <c r="G190" t="s">
        <v>224</v>
      </c>
    </row>
    <row r="191" spans="1:7" x14ac:dyDescent="0.25">
      <c r="A191">
        <v>190</v>
      </c>
      <c r="B191" s="1">
        <v>46251</v>
      </c>
      <c r="C191" t="s">
        <v>788</v>
      </c>
      <c r="D191">
        <v>0.01</v>
      </c>
      <c r="E191" t="s">
        <v>789</v>
      </c>
      <c r="F191" t="s">
        <v>996</v>
      </c>
      <c r="G191" t="s">
        <v>224</v>
      </c>
    </row>
    <row r="192" spans="1:7" x14ac:dyDescent="0.25">
      <c r="A192">
        <v>191</v>
      </c>
      <c r="B192" s="1">
        <v>46251</v>
      </c>
      <c r="C192" t="s">
        <v>790</v>
      </c>
      <c r="D192">
        <v>0.01</v>
      </c>
      <c r="E192" t="s">
        <v>791</v>
      </c>
      <c r="F192" t="s">
        <v>996</v>
      </c>
      <c r="G192" t="s">
        <v>224</v>
      </c>
    </row>
    <row r="193" spans="1:7" x14ac:dyDescent="0.25">
      <c r="A193">
        <v>192</v>
      </c>
      <c r="B193" s="1">
        <v>46251</v>
      </c>
      <c r="C193" t="s">
        <v>350</v>
      </c>
      <c r="D193">
        <v>0.01</v>
      </c>
      <c r="E193" t="s">
        <v>351</v>
      </c>
      <c r="F193" t="s">
        <v>1004</v>
      </c>
      <c r="G193" t="s">
        <v>224</v>
      </c>
    </row>
    <row r="194" spans="1:7" x14ac:dyDescent="0.25">
      <c r="A194">
        <v>193</v>
      </c>
      <c r="B194" s="1">
        <v>46251</v>
      </c>
      <c r="C194" t="s">
        <v>463</v>
      </c>
      <c r="D194">
        <v>0.01</v>
      </c>
      <c r="E194" t="s">
        <v>464</v>
      </c>
      <c r="F194" t="s">
        <v>1008</v>
      </c>
      <c r="G194" t="s">
        <v>452</v>
      </c>
    </row>
    <row r="195" spans="1:7" x14ac:dyDescent="0.25">
      <c r="A195">
        <v>194</v>
      </c>
      <c r="B195" s="1">
        <v>46251</v>
      </c>
      <c r="C195" t="s">
        <v>461</v>
      </c>
      <c r="D195">
        <v>0.01</v>
      </c>
      <c r="E195" t="s">
        <v>462</v>
      </c>
      <c r="F195" t="s">
        <v>1008</v>
      </c>
      <c r="G195" t="s">
        <v>452</v>
      </c>
    </row>
    <row r="196" spans="1:7" x14ac:dyDescent="0.25">
      <c r="A196">
        <v>195</v>
      </c>
      <c r="B196" s="1">
        <v>46251</v>
      </c>
      <c r="C196" t="s">
        <v>352</v>
      </c>
      <c r="D196">
        <v>0.01</v>
      </c>
      <c r="E196" t="s">
        <v>353</v>
      </c>
      <c r="F196" t="s">
        <v>996</v>
      </c>
      <c r="G196" t="s">
        <v>224</v>
      </c>
    </row>
    <row r="197" spans="1:7" x14ac:dyDescent="0.25">
      <c r="A197">
        <v>196</v>
      </c>
      <c r="B197" s="1">
        <v>46251</v>
      </c>
      <c r="C197" t="s">
        <v>362</v>
      </c>
      <c r="D197">
        <v>0.01</v>
      </c>
      <c r="E197" t="s">
        <v>363</v>
      </c>
      <c r="F197" t="s">
        <v>1005</v>
      </c>
      <c r="G197" t="s">
        <v>224</v>
      </c>
    </row>
    <row r="198" spans="1:7" x14ac:dyDescent="0.25">
      <c r="A198">
        <v>197</v>
      </c>
      <c r="B198" s="1">
        <v>46251</v>
      </c>
      <c r="C198" t="s">
        <v>305</v>
      </c>
      <c r="D198">
        <v>0.01</v>
      </c>
      <c r="E198" t="s">
        <v>306</v>
      </c>
      <c r="F198" t="s">
        <v>996</v>
      </c>
      <c r="G198" t="s">
        <v>224</v>
      </c>
    </row>
    <row r="199" spans="1:7" x14ac:dyDescent="0.25">
      <c r="A199">
        <v>198</v>
      </c>
      <c r="B199" s="1">
        <v>46251</v>
      </c>
      <c r="C199" t="s">
        <v>453</v>
      </c>
      <c r="D199">
        <v>0.01</v>
      </c>
      <c r="E199" t="s">
        <v>454</v>
      </c>
      <c r="F199" t="s">
        <v>1000</v>
      </c>
      <c r="G199" t="s">
        <v>452</v>
      </c>
    </row>
    <row r="200" spans="1:7" x14ac:dyDescent="0.25">
      <c r="A200">
        <v>199</v>
      </c>
      <c r="B200" s="1">
        <v>46251</v>
      </c>
      <c r="C200" t="s">
        <v>792</v>
      </c>
      <c r="D200">
        <v>0.01</v>
      </c>
      <c r="E200" t="s">
        <v>793</v>
      </c>
      <c r="F200" t="s">
        <v>996</v>
      </c>
      <c r="G200" t="s">
        <v>224</v>
      </c>
    </row>
    <row r="201" spans="1:7" x14ac:dyDescent="0.25">
      <c r="A201">
        <v>200</v>
      </c>
      <c r="B201" s="1">
        <v>46251</v>
      </c>
      <c r="C201" t="s">
        <v>546</v>
      </c>
      <c r="D201">
        <v>0.01</v>
      </c>
      <c r="E201" t="s">
        <v>547</v>
      </c>
      <c r="F201" t="s">
        <v>1009</v>
      </c>
      <c r="G201" t="s">
        <v>543</v>
      </c>
    </row>
    <row r="202" spans="1:7" x14ac:dyDescent="0.25">
      <c r="A202">
        <v>201</v>
      </c>
      <c r="B202" s="1">
        <v>46251</v>
      </c>
      <c r="C202" t="s">
        <v>794</v>
      </c>
      <c r="D202">
        <v>0.01</v>
      </c>
      <c r="E202" t="s">
        <v>795</v>
      </c>
      <c r="F202" t="s">
        <v>996</v>
      </c>
      <c r="G202" t="s">
        <v>224</v>
      </c>
    </row>
    <row r="203" spans="1:7" x14ac:dyDescent="0.25">
      <c r="A203">
        <v>202</v>
      </c>
      <c r="B203" s="1">
        <v>46251</v>
      </c>
      <c r="C203" t="s">
        <v>796</v>
      </c>
      <c r="D203">
        <v>0.01</v>
      </c>
      <c r="E203" t="s">
        <v>797</v>
      </c>
      <c r="F203" t="s">
        <v>996</v>
      </c>
      <c r="G203" t="s">
        <v>224</v>
      </c>
    </row>
    <row r="204" spans="1:7" x14ac:dyDescent="0.25">
      <c r="A204">
        <v>203</v>
      </c>
      <c r="B204" s="1">
        <v>46251</v>
      </c>
      <c r="C204" t="s">
        <v>798</v>
      </c>
      <c r="D204">
        <v>0.01</v>
      </c>
      <c r="E204" t="s">
        <v>799</v>
      </c>
      <c r="F204" t="s">
        <v>996</v>
      </c>
      <c r="G204" t="s">
        <v>224</v>
      </c>
    </row>
    <row r="205" spans="1:7" x14ac:dyDescent="0.25">
      <c r="A205">
        <v>204</v>
      </c>
      <c r="B205" s="1">
        <v>46251</v>
      </c>
      <c r="C205" t="s">
        <v>800</v>
      </c>
      <c r="D205">
        <v>0.01</v>
      </c>
      <c r="E205" t="s">
        <v>801</v>
      </c>
      <c r="F205" t="s">
        <v>996</v>
      </c>
      <c r="G205" t="s">
        <v>543</v>
      </c>
    </row>
    <row r="206" spans="1:7" x14ac:dyDescent="0.25">
      <c r="A206">
        <v>205</v>
      </c>
      <c r="B206" s="1">
        <v>46251</v>
      </c>
      <c r="C206" t="s">
        <v>802</v>
      </c>
      <c r="D206">
        <v>0.01</v>
      </c>
      <c r="E206" t="s">
        <v>803</v>
      </c>
      <c r="F206" t="s">
        <v>996</v>
      </c>
      <c r="G206" t="s">
        <v>804</v>
      </c>
    </row>
    <row r="207" spans="1:7" x14ac:dyDescent="0.25">
      <c r="A207">
        <v>206</v>
      </c>
      <c r="B207" s="1">
        <v>46251</v>
      </c>
      <c r="C207" t="s">
        <v>805</v>
      </c>
      <c r="D207">
        <v>0.01</v>
      </c>
      <c r="E207" t="s">
        <v>806</v>
      </c>
      <c r="F207" t="s">
        <v>996</v>
      </c>
      <c r="G207" t="s">
        <v>543</v>
      </c>
    </row>
    <row r="208" spans="1:7" x14ac:dyDescent="0.25">
      <c r="A208">
        <v>207</v>
      </c>
      <c r="B208" s="1">
        <v>46251</v>
      </c>
      <c r="C208" t="s">
        <v>807</v>
      </c>
      <c r="D208">
        <v>0.01</v>
      </c>
      <c r="E208" t="s">
        <v>808</v>
      </c>
      <c r="F208" t="s">
        <v>996</v>
      </c>
      <c r="G208" t="s">
        <v>804</v>
      </c>
    </row>
    <row r="209" spans="1:7" x14ac:dyDescent="0.25">
      <c r="A209">
        <v>208</v>
      </c>
      <c r="B209" s="1">
        <v>46251</v>
      </c>
      <c r="C209" t="s">
        <v>809</v>
      </c>
      <c r="D209">
        <v>0.01</v>
      </c>
      <c r="E209" t="s">
        <v>810</v>
      </c>
      <c r="F209" t="s">
        <v>996</v>
      </c>
      <c r="G209" t="s">
        <v>540</v>
      </c>
    </row>
    <row r="210" spans="1:7" x14ac:dyDescent="0.25">
      <c r="A210">
        <v>209</v>
      </c>
      <c r="B210" s="1">
        <v>46251</v>
      </c>
      <c r="C210" t="s">
        <v>63</v>
      </c>
      <c r="D210">
        <v>0.01</v>
      </c>
      <c r="E210" t="s">
        <v>64</v>
      </c>
      <c r="F210" t="s">
        <v>996</v>
      </c>
    </row>
    <row r="211" spans="1:7" x14ac:dyDescent="0.25">
      <c r="A211">
        <v>210</v>
      </c>
      <c r="B211" s="1">
        <v>46251</v>
      </c>
      <c r="C211" t="s">
        <v>538</v>
      </c>
      <c r="D211">
        <v>0.01</v>
      </c>
      <c r="E211" t="s">
        <v>539</v>
      </c>
      <c r="F211" t="s">
        <v>1010</v>
      </c>
      <c r="G211" t="s">
        <v>533</v>
      </c>
    </row>
    <row r="212" spans="1:7" x14ac:dyDescent="0.25">
      <c r="A212">
        <v>211</v>
      </c>
      <c r="B212" s="1">
        <v>46251</v>
      </c>
      <c r="C212" t="s">
        <v>544</v>
      </c>
      <c r="D212">
        <v>0.01</v>
      </c>
      <c r="E212" t="s">
        <v>545</v>
      </c>
      <c r="F212" t="s">
        <v>1010</v>
      </c>
      <c r="G212" t="s">
        <v>543</v>
      </c>
    </row>
    <row r="213" spans="1:7" x14ac:dyDescent="0.25">
      <c r="A213">
        <v>212</v>
      </c>
      <c r="B213" s="1">
        <v>46251</v>
      </c>
      <c r="C213" t="s">
        <v>19</v>
      </c>
      <c r="D213">
        <v>0.01</v>
      </c>
      <c r="E213" t="s">
        <v>20</v>
      </c>
      <c r="F213" t="s">
        <v>996</v>
      </c>
    </row>
    <row r="214" spans="1:7" x14ac:dyDescent="0.25">
      <c r="A214">
        <v>213</v>
      </c>
      <c r="B214" s="1">
        <v>46251</v>
      </c>
      <c r="C214" t="s">
        <v>541</v>
      </c>
      <c r="D214">
        <v>0.01</v>
      </c>
      <c r="E214" t="s">
        <v>542</v>
      </c>
      <c r="F214" t="s">
        <v>1010</v>
      </c>
      <c r="G214" t="s">
        <v>540</v>
      </c>
    </row>
    <row r="215" spans="1:7" x14ac:dyDescent="0.25">
      <c r="A215">
        <v>214</v>
      </c>
      <c r="B215" s="1">
        <v>46251</v>
      </c>
      <c r="C215" t="s">
        <v>472</v>
      </c>
      <c r="D215">
        <v>0.01</v>
      </c>
      <c r="E215" t="s">
        <v>473</v>
      </c>
      <c r="F215" t="s">
        <v>1009</v>
      </c>
      <c r="G215" t="s">
        <v>471</v>
      </c>
    </row>
    <row r="216" spans="1:7" x14ac:dyDescent="0.25">
      <c r="A216">
        <v>215</v>
      </c>
      <c r="B216" s="1">
        <v>46251</v>
      </c>
      <c r="C216" t="s">
        <v>811</v>
      </c>
      <c r="D216">
        <v>0.01</v>
      </c>
      <c r="E216" t="s">
        <v>812</v>
      </c>
      <c r="F216" t="s">
        <v>996</v>
      </c>
      <c r="G216" t="s">
        <v>621</v>
      </c>
    </row>
    <row r="217" spans="1:7" x14ac:dyDescent="0.25">
      <c r="A217">
        <v>216</v>
      </c>
      <c r="B217" s="1">
        <v>46251</v>
      </c>
      <c r="C217" t="s">
        <v>485</v>
      </c>
      <c r="D217">
        <v>0.01</v>
      </c>
      <c r="E217" t="s">
        <v>486</v>
      </c>
      <c r="F217" t="s">
        <v>1011</v>
      </c>
      <c r="G217" t="s">
        <v>474</v>
      </c>
    </row>
    <row r="218" spans="1:7" x14ac:dyDescent="0.25">
      <c r="A218">
        <v>217</v>
      </c>
      <c r="B218" s="1">
        <v>46251</v>
      </c>
      <c r="C218" t="s">
        <v>813</v>
      </c>
      <c r="D218">
        <v>0.01</v>
      </c>
      <c r="E218" t="s">
        <v>814</v>
      </c>
      <c r="F218" t="s">
        <v>1012</v>
      </c>
      <c r="G218" t="s">
        <v>540</v>
      </c>
    </row>
    <row r="219" spans="1:7" x14ac:dyDescent="0.25">
      <c r="A219">
        <v>218</v>
      </c>
      <c r="B219" s="1">
        <v>46251</v>
      </c>
      <c r="C219" t="s">
        <v>419</v>
      </c>
      <c r="D219">
        <v>0.01</v>
      </c>
      <c r="E219" t="s">
        <v>420</v>
      </c>
      <c r="F219" t="s">
        <v>1009</v>
      </c>
      <c r="G219" t="s">
        <v>384</v>
      </c>
    </row>
    <row r="220" spans="1:7" x14ac:dyDescent="0.25">
      <c r="A220">
        <v>219</v>
      </c>
      <c r="B220" s="1">
        <v>46251</v>
      </c>
      <c r="C220" t="s">
        <v>113</v>
      </c>
      <c r="D220">
        <v>0.01</v>
      </c>
      <c r="E220" t="s">
        <v>114</v>
      </c>
      <c r="F220" t="s">
        <v>1000</v>
      </c>
      <c r="G220" t="s">
        <v>83</v>
      </c>
    </row>
    <row r="221" spans="1:7" x14ac:dyDescent="0.25">
      <c r="A221">
        <v>220</v>
      </c>
      <c r="B221" s="1">
        <v>46251</v>
      </c>
      <c r="C221" t="s">
        <v>99</v>
      </c>
      <c r="D221">
        <v>0.01</v>
      </c>
      <c r="E221" t="s">
        <v>100</v>
      </c>
      <c r="F221" t="s">
        <v>996</v>
      </c>
      <c r="G221" t="s">
        <v>83</v>
      </c>
    </row>
    <row r="222" spans="1:7" x14ac:dyDescent="0.25">
      <c r="A222">
        <v>221</v>
      </c>
      <c r="B222" s="1">
        <v>46251</v>
      </c>
      <c r="C222" t="s">
        <v>15</v>
      </c>
      <c r="D222">
        <v>0.01</v>
      </c>
      <c r="E222" t="s">
        <v>16</v>
      </c>
      <c r="F222" t="s">
        <v>996</v>
      </c>
    </row>
    <row r="223" spans="1:7" x14ac:dyDescent="0.25">
      <c r="A223">
        <v>222</v>
      </c>
      <c r="B223" s="1">
        <v>46251</v>
      </c>
      <c r="C223" t="s">
        <v>101</v>
      </c>
      <c r="D223">
        <v>0.01</v>
      </c>
      <c r="E223" t="s">
        <v>102</v>
      </c>
      <c r="F223" t="s">
        <v>996</v>
      </c>
      <c r="G223" t="s">
        <v>83</v>
      </c>
    </row>
    <row r="224" spans="1:7" x14ac:dyDescent="0.25">
      <c r="A224">
        <v>223</v>
      </c>
      <c r="B224" s="1">
        <v>46251</v>
      </c>
      <c r="C224" t="s">
        <v>526</v>
      </c>
      <c r="D224">
        <v>0.01</v>
      </c>
      <c r="E224" t="s">
        <v>527</v>
      </c>
      <c r="F224" t="s">
        <v>996</v>
      </c>
      <c r="G224" t="s">
        <v>533</v>
      </c>
    </row>
    <row r="225" spans="1:7" x14ac:dyDescent="0.25">
      <c r="A225">
        <v>224</v>
      </c>
      <c r="B225" s="1">
        <v>46251</v>
      </c>
      <c r="C225" t="s">
        <v>115</v>
      </c>
      <c r="D225">
        <v>0.01</v>
      </c>
      <c r="E225" t="s">
        <v>116</v>
      </c>
      <c r="F225" t="s">
        <v>996</v>
      </c>
      <c r="G225" t="s">
        <v>83</v>
      </c>
    </row>
    <row r="226" spans="1:7" x14ac:dyDescent="0.25">
      <c r="A226">
        <v>225</v>
      </c>
      <c r="B226" s="1">
        <v>46251</v>
      </c>
      <c r="C226" t="s">
        <v>815</v>
      </c>
      <c r="D226">
        <v>0.01</v>
      </c>
      <c r="E226" t="s">
        <v>816</v>
      </c>
      <c r="F226" t="s">
        <v>1012</v>
      </c>
      <c r="G226" t="s">
        <v>224</v>
      </c>
    </row>
    <row r="227" spans="1:7" x14ac:dyDescent="0.25">
      <c r="A227">
        <v>226</v>
      </c>
      <c r="B227" s="1">
        <v>46251</v>
      </c>
      <c r="C227" t="s">
        <v>467</v>
      </c>
      <c r="D227">
        <v>0.01</v>
      </c>
      <c r="E227" t="s">
        <v>468</v>
      </c>
      <c r="F227" t="s">
        <v>1009</v>
      </c>
      <c r="G227" t="s">
        <v>336</v>
      </c>
    </row>
    <row r="228" spans="1:7" x14ac:dyDescent="0.25">
      <c r="A228">
        <v>227</v>
      </c>
      <c r="B228" s="1">
        <v>46251</v>
      </c>
      <c r="C228" t="s">
        <v>269</v>
      </c>
      <c r="D228">
        <v>0.01</v>
      </c>
      <c r="E228" t="s">
        <v>224</v>
      </c>
      <c r="F228" t="s">
        <v>997</v>
      </c>
      <c r="G228" t="s">
        <v>224</v>
      </c>
    </row>
    <row r="229" spans="1:7" x14ac:dyDescent="0.25">
      <c r="A229">
        <v>228</v>
      </c>
      <c r="B229" s="1">
        <v>46251</v>
      </c>
      <c r="C229" t="s">
        <v>222</v>
      </c>
      <c r="D229">
        <v>0.01</v>
      </c>
      <c r="E229" t="s">
        <v>223</v>
      </c>
      <c r="F229" t="s">
        <v>1013</v>
      </c>
      <c r="G229" t="s">
        <v>162</v>
      </c>
    </row>
    <row r="230" spans="1:7" x14ac:dyDescent="0.25">
      <c r="A230">
        <v>229</v>
      </c>
      <c r="B230" s="1">
        <v>46251</v>
      </c>
      <c r="C230" t="s">
        <v>528</v>
      </c>
      <c r="D230">
        <v>0.01</v>
      </c>
      <c r="E230" t="s">
        <v>529</v>
      </c>
      <c r="F230" t="s">
        <v>996</v>
      </c>
      <c r="G230" t="s">
        <v>533</v>
      </c>
    </row>
    <row r="231" spans="1:7" x14ac:dyDescent="0.25">
      <c r="A231">
        <v>230</v>
      </c>
      <c r="B231" s="1">
        <v>46251</v>
      </c>
      <c r="C231" t="s">
        <v>817</v>
      </c>
      <c r="D231">
        <v>0.01</v>
      </c>
      <c r="E231" t="s">
        <v>818</v>
      </c>
      <c r="F231" t="s">
        <v>996</v>
      </c>
      <c r="G231" t="s">
        <v>224</v>
      </c>
    </row>
    <row r="232" spans="1:7" x14ac:dyDescent="0.25">
      <c r="A232">
        <v>231</v>
      </c>
      <c r="B232" s="1">
        <v>46251</v>
      </c>
      <c r="C232" t="s">
        <v>35</v>
      </c>
      <c r="D232">
        <v>0.01</v>
      </c>
      <c r="E232" t="s">
        <v>36</v>
      </c>
      <c r="F232" t="s">
        <v>996</v>
      </c>
    </row>
    <row r="233" spans="1:7" x14ac:dyDescent="0.25">
      <c r="A233">
        <v>232</v>
      </c>
      <c r="B233" s="1">
        <v>46251</v>
      </c>
      <c r="C233" t="s">
        <v>79</v>
      </c>
      <c r="D233">
        <v>0.01</v>
      </c>
      <c r="E233" t="s">
        <v>80</v>
      </c>
      <c r="F233" t="s">
        <v>1013</v>
      </c>
    </row>
    <row r="234" spans="1:7" x14ac:dyDescent="0.25">
      <c r="A234">
        <v>233</v>
      </c>
      <c r="B234" s="1">
        <v>46251</v>
      </c>
      <c r="C234" t="s">
        <v>494</v>
      </c>
      <c r="D234">
        <v>0.01</v>
      </c>
      <c r="E234" t="s">
        <v>495</v>
      </c>
      <c r="F234" t="s">
        <v>1014</v>
      </c>
      <c r="G234" t="s">
        <v>487</v>
      </c>
    </row>
    <row r="235" spans="1:7" x14ac:dyDescent="0.25">
      <c r="A235">
        <v>234</v>
      </c>
      <c r="B235" s="1">
        <v>46251</v>
      </c>
      <c r="C235" t="s">
        <v>265</v>
      </c>
      <c r="D235">
        <v>0.01</v>
      </c>
      <c r="E235" t="s">
        <v>266</v>
      </c>
      <c r="F235" t="s">
        <v>1002</v>
      </c>
      <c r="G235" t="s">
        <v>224</v>
      </c>
    </row>
    <row r="236" spans="1:7" x14ac:dyDescent="0.25">
      <c r="A236">
        <v>235</v>
      </c>
      <c r="B236" s="1">
        <v>46251</v>
      </c>
      <c r="C236" t="s">
        <v>103</v>
      </c>
      <c r="D236">
        <v>0.01</v>
      </c>
      <c r="E236" t="s">
        <v>104</v>
      </c>
      <c r="F236" t="s">
        <v>1002</v>
      </c>
    </row>
    <row r="237" spans="1:7" x14ac:dyDescent="0.25">
      <c r="A237">
        <v>236</v>
      </c>
      <c r="B237" s="1">
        <v>46251</v>
      </c>
      <c r="C237" t="s">
        <v>819</v>
      </c>
      <c r="D237">
        <v>0.01</v>
      </c>
      <c r="E237" t="s">
        <v>820</v>
      </c>
      <c r="F237" t="s">
        <v>1007</v>
      </c>
      <c r="G237" t="s">
        <v>651</v>
      </c>
    </row>
    <row r="238" spans="1:7" x14ac:dyDescent="0.25">
      <c r="A238">
        <v>237</v>
      </c>
      <c r="B238" s="1">
        <v>46251</v>
      </c>
      <c r="C238" t="s">
        <v>370</v>
      </c>
      <c r="D238">
        <v>0.01</v>
      </c>
      <c r="E238" t="s">
        <v>371</v>
      </c>
      <c r="F238" t="s">
        <v>1014</v>
      </c>
      <c r="G238" t="s">
        <v>224</v>
      </c>
    </row>
    <row r="239" spans="1:7" x14ac:dyDescent="0.25">
      <c r="A239">
        <v>238</v>
      </c>
      <c r="B239" s="1">
        <v>46251</v>
      </c>
      <c r="C239" t="s">
        <v>465</v>
      </c>
      <c r="D239">
        <v>0.01</v>
      </c>
      <c r="E239" t="s">
        <v>466</v>
      </c>
      <c r="F239" t="s">
        <v>1013</v>
      </c>
      <c r="G239" t="s">
        <v>336</v>
      </c>
    </row>
    <row r="240" spans="1:7" x14ac:dyDescent="0.25">
      <c r="A240">
        <v>239</v>
      </c>
      <c r="B240" s="1">
        <v>46251</v>
      </c>
      <c r="C240" t="s">
        <v>821</v>
      </c>
      <c r="D240">
        <v>0.01</v>
      </c>
      <c r="E240" t="s">
        <v>822</v>
      </c>
      <c r="F240" t="s">
        <v>996</v>
      </c>
      <c r="G240" t="s">
        <v>621</v>
      </c>
    </row>
    <row r="241" spans="1:7" x14ac:dyDescent="0.25">
      <c r="A241">
        <v>240</v>
      </c>
      <c r="B241" s="1">
        <v>46251</v>
      </c>
      <c r="C241" t="s">
        <v>323</v>
      </c>
      <c r="D241">
        <v>0.01</v>
      </c>
      <c r="E241" t="s">
        <v>324</v>
      </c>
      <c r="F241" t="s">
        <v>996</v>
      </c>
      <c r="G241" t="s">
        <v>224</v>
      </c>
    </row>
    <row r="242" spans="1:7" x14ac:dyDescent="0.25">
      <c r="A242">
        <v>241</v>
      </c>
      <c r="B242" s="1">
        <v>46251</v>
      </c>
      <c r="C242" t="s">
        <v>91</v>
      </c>
      <c r="D242">
        <v>0.01</v>
      </c>
      <c r="E242" t="s">
        <v>92</v>
      </c>
      <c r="F242" t="s">
        <v>996</v>
      </c>
      <c r="G242" t="s">
        <v>83</v>
      </c>
    </row>
    <row r="243" spans="1:7" x14ac:dyDescent="0.25">
      <c r="A243">
        <v>242</v>
      </c>
      <c r="B243" s="1">
        <v>46251</v>
      </c>
      <c r="C243" t="s">
        <v>121</v>
      </c>
      <c r="D243">
        <v>0.01</v>
      </c>
      <c r="E243" t="s">
        <v>122</v>
      </c>
      <c r="F243" t="s">
        <v>1009</v>
      </c>
      <c r="G243" t="s">
        <v>83</v>
      </c>
    </row>
    <row r="244" spans="1:7" x14ac:dyDescent="0.25">
      <c r="A244">
        <v>243</v>
      </c>
      <c r="B244" s="1">
        <v>46251</v>
      </c>
      <c r="C244" t="s">
        <v>469</v>
      </c>
      <c r="D244">
        <v>0.01</v>
      </c>
      <c r="E244" t="s">
        <v>470</v>
      </c>
      <c r="F244" t="s">
        <v>1015</v>
      </c>
      <c r="G244" t="s">
        <v>336</v>
      </c>
    </row>
    <row r="245" spans="1:7" x14ac:dyDescent="0.25">
      <c r="A245">
        <v>244</v>
      </c>
      <c r="B245" s="1">
        <v>46251</v>
      </c>
      <c r="C245" t="s">
        <v>530</v>
      </c>
      <c r="D245">
        <v>0.01</v>
      </c>
      <c r="E245" t="s">
        <v>531</v>
      </c>
      <c r="F245" t="s">
        <v>996</v>
      </c>
      <c r="G245" t="s">
        <v>533</v>
      </c>
    </row>
    <row r="246" spans="1:7" x14ac:dyDescent="0.25">
      <c r="A246">
        <v>245</v>
      </c>
      <c r="B246" s="1">
        <v>46251</v>
      </c>
      <c r="C246" t="s">
        <v>6</v>
      </c>
      <c r="D246">
        <v>0.01</v>
      </c>
      <c r="E246" t="s">
        <v>7</v>
      </c>
      <c r="F246" t="s">
        <v>996</v>
      </c>
    </row>
    <row r="247" spans="1:7" x14ac:dyDescent="0.25">
      <c r="A247">
        <v>246</v>
      </c>
      <c r="B247" s="1">
        <v>46251</v>
      </c>
      <c r="C247" t="s">
        <v>513</v>
      </c>
      <c r="D247">
        <v>0.01</v>
      </c>
      <c r="E247" t="s">
        <v>514</v>
      </c>
      <c r="F247" t="s">
        <v>1016</v>
      </c>
      <c r="G247" t="s">
        <v>504</v>
      </c>
    </row>
    <row r="248" spans="1:7" x14ac:dyDescent="0.25">
      <c r="A248">
        <v>247</v>
      </c>
      <c r="B248" s="1">
        <v>46251</v>
      </c>
      <c r="C248" t="s">
        <v>317</v>
      </c>
      <c r="D248">
        <v>0.01</v>
      </c>
      <c r="E248" t="s">
        <v>318</v>
      </c>
      <c r="F248" t="s">
        <v>996</v>
      </c>
      <c r="G248" t="s">
        <v>224</v>
      </c>
    </row>
    <row r="249" spans="1:7" x14ac:dyDescent="0.25">
      <c r="A249">
        <v>248</v>
      </c>
      <c r="B249" s="1">
        <v>46251</v>
      </c>
      <c r="C249" t="s">
        <v>119</v>
      </c>
      <c r="D249">
        <v>0.01</v>
      </c>
      <c r="E249" t="s">
        <v>120</v>
      </c>
      <c r="F249" t="s">
        <v>1009</v>
      </c>
      <c r="G249" t="s">
        <v>83</v>
      </c>
    </row>
    <row r="250" spans="1:7" x14ac:dyDescent="0.25">
      <c r="A250">
        <v>249</v>
      </c>
      <c r="B250" s="1">
        <v>46251</v>
      </c>
      <c r="C250" t="s">
        <v>823</v>
      </c>
      <c r="D250">
        <v>0.01</v>
      </c>
      <c r="E250" t="s">
        <v>824</v>
      </c>
      <c r="F250" t="s">
        <v>996</v>
      </c>
      <c r="G250" t="s">
        <v>224</v>
      </c>
    </row>
    <row r="251" spans="1:7" x14ac:dyDescent="0.25">
      <c r="A251">
        <v>250</v>
      </c>
      <c r="B251" s="1">
        <v>46251</v>
      </c>
      <c r="C251" t="s">
        <v>825</v>
      </c>
      <c r="D251">
        <v>0.01</v>
      </c>
      <c r="E251" t="s">
        <v>826</v>
      </c>
      <c r="F251" t="s">
        <v>996</v>
      </c>
      <c r="G251" t="s">
        <v>621</v>
      </c>
    </row>
    <row r="252" spans="1:7" x14ac:dyDescent="0.25">
      <c r="A252">
        <v>251</v>
      </c>
      <c r="B252" s="1">
        <v>46251</v>
      </c>
      <c r="C252" t="s">
        <v>827</v>
      </c>
      <c r="D252">
        <v>0.01</v>
      </c>
      <c r="E252" t="s">
        <v>828</v>
      </c>
      <c r="F252" t="s">
        <v>1000</v>
      </c>
      <c r="G252" t="s">
        <v>621</v>
      </c>
    </row>
    <row r="253" spans="1:7" x14ac:dyDescent="0.25">
      <c r="A253">
        <v>252</v>
      </c>
      <c r="B253" s="1">
        <v>46251</v>
      </c>
      <c r="C253" t="s">
        <v>417</v>
      </c>
      <c r="D253">
        <v>0.01</v>
      </c>
      <c r="E253" t="s">
        <v>418</v>
      </c>
      <c r="F253" t="s">
        <v>996</v>
      </c>
      <c r="G253" t="s">
        <v>621</v>
      </c>
    </row>
    <row r="254" spans="1:7" x14ac:dyDescent="0.25">
      <c r="A254">
        <v>253</v>
      </c>
      <c r="B254" s="1">
        <v>46251</v>
      </c>
      <c r="C254" t="s">
        <v>829</v>
      </c>
      <c r="D254">
        <v>0.01</v>
      </c>
      <c r="E254" t="s">
        <v>830</v>
      </c>
      <c r="F254" t="s">
        <v>996</v>
      </c>
      <c r="G254" t="s">
        <v>713</v>
      </c>
    </row>
    <row r="255" spans="1:7" x14ac:dyDescent="0.25">
      <c r="A255">
        <v>254</v>
      </c>
      <c r="B255" s="1">
        <v>46251</v>
      </c>
      <c r="C255" t="s">
        <v>37</v>
      </c>
      <c r="D255">
        <v>0.01</v>
      </c>
      <c r="E255" t="s">
        <v>38</v>
      </c>
      <c r="F255" t="s">
        <v>996</v>
      </c>
    </row>
    <row r="256" spans="1:7" x14ac:dyDescent="0.25">
      <c r="A256">
        <v>255</v>
      </c>
      <c r="B256" s="1">
        <v>46251</v>
      </c>
      <c r="C256" t="s">
        <v>831</v>
      </c>
      <c r="D256">
        <v>0.01</v>
      </c>
      <c r="E256" t="s">
        <v>832</v>
      </c>
      <c r="F256" t="s">
        <v>1000</v>
      </c>
      <c r="G256" t="s">
        <v>621</v>
      </c>
    </row>
    <row r="257" spans="1:7" x14ac:dyDescent="0.25">
      <c r="A257">
        <v>256</v>
      </c>
      <c r="B257" s="1">
        <v>46251</v>
      </c>
      <c r="C257" t="s">
        <v>833</v>
      </c>
      <c r="D257">
        <v>0.01</v>
      </c>
      <c r="E257" t="s">
        <v>834</v>
      </c>
      <c r="F257" t="s">
        <v>1000</v>
      </c>
      <c r="G257" t="s">
        <v>621</v>
      </c>
    </row>
    <row r="258" spans="1:7" x14ac:dyDescent="0.25">
      <c r="A258">
        <v>257</v>
      </c>
      <c r="B258" s="1">
        <v>46251</v>
      </c>
      <c r="C258" t="s">
        <v>10</v>
      </c>
      <c r="D258">
        <v>0.01</v>
      </c>
      <c r="E258" t="s">
        <v>585</v>
      </c>
      <c r="F258" t="s">
        <v>996</v>
      </c>
    </row>
    <row r="259" spans="1:7" x14ac:dyDescent="0.25">
      <c r="A259">
        <v>258</v>
      </c>
      <c r="B259" s="1">
        <v>46251</v>
      </c>
      <c r="C259" t="s">
        <v>49</v>
      </c>
      <c r="D259">
        <v>0.01</v>
      </c>
      <c r="E259" t="s">
        <v>50</v>
      </c>
      <c r="F259" t="s">
        <v>996</v>
      </c>
    </row>
    <row r="260" spans="1:7" x14ac:dyDescent="0.25">
      <c r="A260">
        <v>259</v>
      </c>
      <c r="B260" s="1">
        <v>46251</v>
      </c>
      <c r="C260" t="s">
        <v>835</v>
      </c>
      <c r="D260">
        <v>0.01</v>
      </c>
      <c r="E260" t="s">
        <v>836</v>
      </c>
      <c r="F260" t="s">
        <v>1001</v>
      </c>
      <c r="G260" t="s">
        <v>621</v>
      </c>
    </row>
    <row r="261" spans="1:7" x14ac:dyDescent="0.25">
      <c r="A261">
        <v>260</v>
      </c>
      <c r="B261" s="1">
        <v>46251</v>
      </c>
      <c r="C261" t="s">
        <v>12</v>
      </c>
      <c r="D261">
        <v>0.01</v>
      </c>
      <c r="E261" t="s">
        <v>13</v>
      </c>
      <c r="F261" t="s">
        <v>996</v>
      </c>
    </row>
    <row r="262" spans="1:7" x14ac:dyDescent="0.25">
      <c r="A262">
        <v>261</v>
      </c>
      <c r="B262" s="1">
        <v>46251</v>
      </c>
      <c r="C262" t="s">
        <v>837</v>
      </c>
      <c r="D262">
        <v>0.01</v>
      </c>
      <c r="E262" t="s">
        <v>838</v>
      </c>
      <c r="F262" t="s">
        <v>996</v>
      </c>
      <c r="G262" t="s">
        <v>621</v>
      </c>
    </row>
    <row r="263" spans="1:7" x14ac:dyDescent="0.25">
      <c r="A263">
        <v>262</v>
      </c>
      <c r="B263" s="1">
        <v>46251</v>
      </c>
      <c r="C263" t="s">
        <v>839</v>
      </c>
      <c r="D263">
        <v>0.01</v>
      </c>
      <c r="E263" t="s">
        <v>840</v>
      </c>
      <c r="F263" t="s">
        <v>1003</v>
      </c>
      <c r="G263" t="s">
        <v>694</v>
      </c>
    </row>
    <row r="264" spans="1:7" x14ac:dyDescent="0.25">
      <c r="A264">
        <v>263</v>
      </c>
      <c r="B264" s="1">
        <v>46251</v>
      </c>
      <c r="C264" t="s">
        <v>841</v>
      </c>
      <c r="D264">
        <v>0.01</v>
      </c>
      <c r="E264" t="s">
        <v>842</v>
      </c>
      <c r="F264" t="s">
        <v>996</v>
      </c>
      <c r="G264" t="s">
        <v>540</v>
      </c>
    </row>
    <row r="265" spans="1:7" x14ac:dyDescent="0.25">
      <c r="A265">
        <v>264</v>
      </c>
      <c r="B265" s="1">
        <v>46251</v>
      </c>
      <c r="C265" t="s">
        <v>475</v>
      </c>
      <c r="D265">
        <v>0.01</v>
      </c>
      <c r="E265" t="s">
        <v>476</v>
      </c>
      <c r="F265" t="s">
        <v>996</v>
      </c>
      <c r="G265" t="s">
        <v>474</v>
      </c>
    </row>
    <row r="266" spans="1:7" x14ac:dyDescent="0.25">
      <c r="A266">
        <v>265</v>
      </c>
      <c r="B266" s="1">
        <v>46251</v>
      </c>
      <c r="C266" t="s">
        <v>843</v>
      </c>
      <c r="D266">
        <v>0.01</v>
      </c>
      <c r="E266" t="s">
        <v>74</v>
      </c>
      <c r="F266" t="s">
        <v>996</v>
      </c>
      <c r="G266" t="s">
        <v>224</v>
      </c>
    </row>
    <row r="267" spans="1:7" x14ac:dyDescent="0.25">
      <c r="A267">
        <v>266</v>
      </c>
      <c r="B267" s="1">
        <v>46251</v>
      </c>
      <c r="C267" t="s">
        <v>488</v>
      </c>
      <c r="D267">
        <v>0.01</v>
      </c>
      <c r="E267" t="s">
        <v>489</v>
      </c>
      <c r="F267" t="s">
        <v>1002</v>
      </c>
      <c r="G267" t="s">
        <v>487</v>
      </c>
    </row>
    <row r="268" spans="1:7" x14ac:dyDescent="0.25">
      <c r="A268">
        <v>267</v>
      </c>
      <c r="B268" s="1">
        <v>46251</v>
      </c>
      <c r="C268" t="s">
        <v>844</v>
      </c>
      <c r="D268">
        <v>0.01</v>
      </c>
      <c r="E268" t="s">
        <v>845</v>
      </c>
      <c r="F268" t="s">
        <v>996</v>
      </c>
      <c r="G268" t="s">
        <v>621</v>
      </c>
    </row>
    <row r="269" spans="1:7" x14ac:dyDescent="0.25">
      <c r="A269">
        <v>268</v>
      </c>
      <c r="B269" s="1">
        <v>46251</v>
      </c>
      <c r="C269" t="s">
        <v>208</v>
      </c>
      <c r="D269">
        <v>0.01</v>
      </c>
      <c r="E269" t="s">
        <v>209</v>
      </c>
      <c r="F269" t="s">
        <v>996</v>
      </c>
      <c r="G269" t="s">
        <v>162</v>
      </c>
    </row>
    <row r="270" spans="1:7" x14ac:dyDescent="0.25">
      <c r="A270">
        <v>269</v>
      </c>
      <c r="B270" s="1">
        <v>46251</v>
      </c>
      <c r="C270" t="s">
        <v>846</v>
      </c>
      <c r="D270">
        <v>0.01</v>
      </c>
      <c r="E270" t="s">
        <v>847</v>
      </c>
      <c r="F270" t="s">
        <v>996</v>
      </c>
      <c r="G270" t="s">
        <v>621</v>
      </c>
    </row>
    <row r="271" spans="1:7" x14ac:dyDescent="0.25">
      <c r="A271">
        <v>270</v>
      </c>
      <c r="B271" s="1">
        <v>46251</v>
      </c>
      <c r="C271" t="s">
        <v>848</v>
      </c>
      <c r="D271">
        <v>0.01</v>
      </c>
      <c r="E271" t="s">
        <v>849</v>
      </c>
      <c r="F271" t="s">
        <v>996</v>
      </c>
      <c r="G271" t="s">
        <v>621</v>
      </c>
    </row>
    <row r="272" spans="1:7" x14ac:dyDescent="0.25">
      <c r="A272">
        <v>271</v>
      </c>
      <c r="B272" s="1">
        <v>46251</v>
      </c>
      <c r="C272" t="s">
        <v>97</v>
      </c>
      <c r="D272">
        <v>0.01</v>
      </c>
      <c r="E272" t="s">
        <v>98</v>
      </c>
      <c r="F272" t="s">
        <v>996</v>
      </c>
      <c r="G272" t="s">
        <v>83</v>
      </c>
    </row>
    <row r="273" spans="1:7" x14ac:dyDescent="0.25">
      <c r="A273">
        <v>272</v>
      </c>
      <c r="B273" s="1">
        <v>46251</v>
      </c>
      <c r="C273" t="s">
        <v>210</v>
      </c>
      <c r="D273">
        <v>0.01</v>
      </c>
      <c r="E273" t="s">
        <v>211</v>
      </c>
      <c r="F273" t="s">
        <v>996</v>
      </c>
      <c r="G273" t="s">
        <v>162</v>
      </c>
    </row>
    <row r="274" spans="1:7" x14ac:dyDescent="0.25">
      <c r="A274">
        <v>273</v>
      </c>
      <c r="B274" s="1">
        <v>46251</v>
      </c>
      <c r="C274" t="s">
        <v>850</v>
      </c>
      <c r="D274">
        <v>0.01</v>
      </c>
      <c r="E274" t="s">
        <v>851</v>
      </c>
      <c r="F274" t="s">
        <v>996</v>
      </c>
      <c r="G274" t="s">
        <v>621</v>
      </c>
    </row>
    <row r="275" spans="1:7" x14ac:dyDescent="0.25">
      <c r="A275">
        <v>274</v>
      </c>
      <c r="B275" s="1">
        <v>46251</v>
      </c>
      <c r="C275" t="s">
        <v>852</v>
      </c>
      <c r="D275">
        <v>0.01</v>
      </c>
      <c r="E275" t="s">
        <v>853</v>
      </c>
      <c r="F275" t="s">
        <v>996</v>
      </c>
      <c r="G275" t="s">
        <v>487</v>
      </c>
    </row>
    <row r="276" spans="1:7" x14ac:dyDescent="0.25">
      <c r="A276">
        <v>275</v>
      </c>
      <c r="B276" s="1">
        <v>46251</v>
      </c>
      <c r="C276" t="s">
        <v>358</v>
      </c>
      <c r="D276">
        <v>0.01</v>
      </c>
      <c r="E276" t="s">
        <v>359</v>
      </c>
      <c r="F276" t="s">
        <v>996</v>
      </c>
      <c r="G276" t="s">
        <v>224</v>
      </c>
    </row>
    <row r="277" spans="1:7" x14ac:dyDescent="0.25">
      <c r="A277">
        <v>276</v>
      </c>
      <c r="B277" s="1">
        <v>46251</v>
      </c>
      <c r="C277" t="s">
        <v>500</v>
      </c>
      <c r="D277">
        <v>0.01</v>
      </c>
      <c r="E277" t="s">
        <v>501</v>
      </c>
      <c r="F277" t="s">
        <v>1001</v>
      </c>
      <c r="G277" t="s">
        <v>487</v>
      </c>
    </row>
    <row r="278" spans="1:7" x14ac:dyDescent="0.25">
      <c r="A278">
        <v>277</v>
      </c>
      <c r="B278" s="1">
        <v>46251</v>
      </c>
      <c r="C278" t="s">
        <v>368</v>
      </c>
      <c r="D278">
        <v>0.01</v>
      </c>
      <c r="E278" t="s">
        <v>369</v>
      </c>
      <c r="F278" t="s">
        <v>996</v>
      </c>
      <c r="G278" t="s">
        <v>224</v>
      </c>
    </row>
    <row r="279" spans="1:7" x14ac:dyDescent="0.25">
      <c r="A279">
        <v>278</v>
      </c>
      <c r="B279" s="1">
        <v>46251</v>
      </c>
      <c r="C279" t="s">
        <v>75</v>
      </c>
      <c r="D279">
        <v>0.01</v>
      </c>
      <c r="E279" t="s">
        <v>76</v>
      </c>
      <c r="F279" t="s">
        <v>1001</v>
      </c>
    </row>
    <row r="280" spans="1:7" x14ac:dyDescent="0.25">
      <c r="A280">
        <v>279</v>
      </c>
      <c r="B280" s="1">
        <v>46251</v>
      </c>
      <c r="C280" t="s">
        <v>339</v>
      </c>
      <c r="D280">
        <v>0.01</v>
      </c>
      <c r="E280" t="s">
        <v>340</v>
      </c>
      <c r="F280" t="s">
        <v>1001</v>
      </c>
      <c r="G280" t="s">
        <v>224</v>
      </c>
    </row>
    <row r="281" spans="1:7" x14ac:dyDescent="0.25">
      <c r="A281">
        <v>280</v>
      </c>
      <c r="B281" s="1">
        <v>46251</v>
      </c>
      <c r="C281" t="s">
        <v>502</v>
      </c>
      <c r="D281">
        <v>0.01</v>
      </c>
      <c r="E281" t="s">
        <v>503</v>
      </c>
      <c r="F281" t="s">
        <v>996</v>
      </c>
      <c r="G281" t="s">
        <v>487</v>
      </c>
    </row>
    <row r="282" spans="1:7" x14ac:dyDescent="0.25">
      <c r="A282">
        <v>281</v>
      </c>
      <c r="B282" s="1">
        <v>46251</v>
      </c>
      <c r="C282" t="s">
        <v>93</v>
      </c>
      <c r="D282">
        <v>0.01</v>
      </c>
      <c r="E282" t="s">
        <v>94</v>
      </c>
      <c r="F282" t="s">
        <v>996</v>
      </c>
      <c r="G282" t="s">
        <v>83</v>
      </c>
    </row>
    <row r="283" spans="1:7" x14ac:dyDescent="0.25">
      <c r="A283">
        <v>282</v>
      </c>
      <c r="B283" s="1">
        <v>46251</v>
      </c>
      <c r="C283" t="s">
        <v>854</v>
      </c>
      <c r="D283">
        <v>0.01</v>
      </c>
      <c r="E283" t="s">
        <v>855</v>
      </c>
      <c r="F283" t="s">
        <v>1000</v>
      </c>
      <c r="G283" t="s">
        <v>621</v>
      </c>
    </row>
    <row r="284" spans="1:7" x14ac:dyDescent="0.25">
      <c r="A284">
        <v>283</v>
      </c>
      <c r="B284" s="1">
        <v>46251</v>
      </c>
      <c r="C284" t="s">
        <v>442</v>
      </c>
      <c r="D284">
        <v>0.01</v>
      </c>
      <c r="E284" t="s">
        <v>443</v>
      </c>
      <c r="F284" t="s">
        <v>996</v>
      </c>
      <c r="G284" t="s">
        <v>421</v>
      </c>
    </row>
    <row r="285" spans="1:7" x14ac:dyDescent="0.25">
      <c r="A285">
        <v>284</v>
      </c>
      <c r="B285" s="1">
        <v>46251</v>
      </c>
      <c r="C285" t="s">
        <v>444</v>
      </c>
      <c r="D285">
        <v>0.01</v>
      </c>
      <c r="E285" t="s">
        <v>445</v>
      </c>
      <c r="F285" t="s">
        <v>996</v>
      </c>
      <c r="G285" t="s">
        <v>421</v>
      </c>
    </row>
    <row r="286" spans="1:7" x14ac:dyDescent="0.25">
      <c r="A286">
        <v>285</v>
      </c>
      <c r="B286" s="1">
        <v>46251</v>
      </c>
      <c r="C286" t="s">
        <v>220</v>
      </c>
      <c r="D286">
        <v>0.01</v>
      </c>
      <c r="E286" t="s">
        <v>221</v>
      </c>
      <c r="F286" t="s">
        <v>1011</v>
      </c>
      <c r="G286" t="s">
        <v>162</v>
      </c>
    </row>
    <row r="287" spans="1:7" x14ac:dyDescent="0.25">
      <c r="A287">
        <v>286</v>
      </c>
      <c r="B287" s="1">
        <v>46251</v>
      </c>
      <c r="C287" t="s">
        <v>366</v>
      </c>
      <c r="D287">
        <v>0.01</v>
      </c>
      <c r="E287" t="s">
        <v>367</v>
      </c>
      <c r="F287" t="s">
        <v>1001</v>
      </c>
      <c r="G287" t="s">
        <v>224</v>
      </c>
    </row>
    <row r="288" spans="1:7" x14ac:dyDescent="0.25">
      <c r="A288">
        <v>287</v>
      </c>
      <c r="B288" s="1">
        <v>46251</v>
      </c>
      <c r="C288" t="s">
        <v>446</v>
      </c>
      <c r="D288">
        <v>0.01</v>
      </c>
      <c r="E288" t="s">
        <v>447</v>
      </c>
      <c r="F288" t="s">
        <v>1001</v>
      </c>
      <c r="G288" t="s">
        <v>421</v>
      </c>
    </row>
    <row r="289" spans="1:7" x14ac:dyDescent="0.25">
      <c r="A289">
        <v>288</v>
      </c>
      <c r="B289" s="1">
        <v>46251</v>
      </c>
      <c r="C289" t="s">
        <v>77</v>
      </c>
      <c r="D289">
        <v>0.01</v>
      </c>
      <c r="E289" t="s">
        <v>78</v>
      </c>
      <c r="F289" t="s">
        <v>1001</v>
      </c>
    </row>
    <row r="290" spans="1:7" x14ac:dyDescent="0.25">
      <c r="A290">
        <v>289</v>
      </c>
      <c r="B290" s="1">
        <v>46251</v>
      </c>
      <c r="C290" t="s">
        <v>856</v>
      </c>
      <c r="D290">
        <v>0.01</v>
      </c>
      <c r="E290" t="s">
        <v>857</v>
      </c>
      <c r="F290" t="s">
        <v>996</v>
      </c>
      <c r="G290" t="s">
        <v>621</v>
      </c>
    </row>
    <row r="291" spans="1:7" x14ac:dyDescent="0.25">
      <c r="A291">
        <v>290</v>
      </c>
      <c r="B291" s="1">
        <v>46251</v>
      </c>
      <c r="C291" t="s">
        <v>515</v>
      </c>
      <c r="D291">
        <v>0.01</v>
      </c>
      <c r="E291" t="s">
        <v>516</v>
      </c>
      <c r="F291" t="s">
        <v>1011</v>
      </c>
      <c r="G291" t="s">
        <v>504</v>
      </c>
    </row>
    <row r="292" spans="1:7" x14ac:dyDescent="0.25">
      <c r="A292">
        <v>291</v>
      </c>
      <c r="B292" s="1">
        <v>46251</v>
      </c>
      <c r="C292" t="s">
        <v>51</v>
      </c>
      <c r="D292">
        <v>0.01</v>
      </c>
      <c r="E292" t="s">
        <v>52</v>
      </c>
      <c r="F292" t="s">
        <v>996</v>
      </c>
    </row>
    <row r="293" spans="1:7" x14ac:dyDescent="0.25">
      <c r="A293">
        <v>292</v>
      </c>
      <c r="B293" s="1">
        <v>46251</v>
      </c>
      <c r="C293" t="s">
        <v>858</v>
      </c>
      <c r="D293">
        <v>0.01</v>
      </c>
      <c r="E293" t="s">
        <v>859</v>
      </c>
      <c r="F293" t="s">
        <v>996</v>
      </c>
      <c r="G293" t="s">
        <v>487</v>
      </c>
    </row>
    <row r="294" spans="1:7" x14ac:dyDescent="0.25">
      <c r="A294">
        <v>293</v>
      </c>
      <c r="B294" s="1">
        <v>46251</v>
      </c>
      <c r="C294" t="s">
        <v>860</v>
      </c>
      <c r="D294">
        <v>0.01</v>
      </c>
      <c r="E294" t="s">
        <v>531</v>
      </c>
      <c r="F294" t="s">
        <v>996</v>
      </c>
      <c r="G294" t="s">
        <v>487</v>
      </c>
    </row>
    <row r="295" spans="1:7" x14ac:dyDescent="0.25">
      <c r="A295">
        <v>294</v>
      </c>
      <c r="B295" s="1">
        <v>46251</v>
      </c>
      <c r="C295" t="s">
        <v>212</v>
      </c>
      <c r="D295">
        <v>0.01</v>
      </c>
      <c r="E295" t="s">
        <v>213</v>
      </c>
      <c r="F295" t="s">
        <v>996</v>
      </c>
      <c r="G295" t="s">
        <v>162</v>
      </c>
    </row>
    <row r="296" spans="1:7" x14ac:dyDescent="0.25">
      <c r="A296">
        <v>295</v>
      </c>
      <c r="B296" s="1">
        <v>46251</v>
      </c>
      <c r="C296" t="s">
        <v>861</v>
      </c>
      <c r="D296">
        <v>0.01</v>
      </c>
      <c r="E296" t="s">
        <v>862</v>
      </c>
      <c r="F296" t="s">
        <v>996</v>
      </c>
      <c r="G296" t="s">
        <v>621</v>
      </c>
    </row>
    <row r="297" spans="1:7" x14ac:dyDescent="0.25">
      <c r="A297">
        <v>296</v>
      </c>
      <c r="B297" s="1">
        <v>46251</v>
      </c>
      <c r="C297" t="s">
        <v>95</v>
      </c>
      <c r="D297">
        <v>0.01</v>
      </c>
      <c r="E297" t="s">
        <v>96</v>
      </c>
      <c r="F297" t="s">
        <v>1000</v>
      </c>
      <c r="G297" t="s">
        <v>83</v>
      </c>
    </row>
    <row r="298" spans="1:7" x14ac:dyDescent="0.25">
      <c r="A298">
        <v>297</v>
      </c>
      <c r="B298" s="1">
        <v>46251</v>
      </c>
      <c r="C298" t="s">
        <v>863</v>
      </c>
      <c r="D298">
        <v>0.01</v>
      </c>
      <c r="E298" t="s">
        <v>864</v>
      </c>
      <c r="F298" t="s">
        <v>996</v>
      </c>
      <c r="G298" t="s">
        <v>540</v>
      </c>
    </row>
    <row r="299" spans="1:7" x14ac:dyDescent="0.25">
      <c r="A299">
        <v>298</v>
      </c>
      <c r="B299" s="1">
        <v>46251</v>
      </c>
      <c r="C299" t="s">
        <v>865</v>
      </c>
      <c r="D299">
        <v>0.01</v>
      </c>
      <c r="E299" t="s">
        <v>866</v>
      </c>
      <c r="F299" t="s">
        <v>996</v>
      </c>
      <c r="G299" t="s">
        <v>621</v>
      </c>
    </row>
    <row r="300" spans="1:7" x14ac:dyDescent="0.25">
      <c r="A300">
        <v>299</v>
      </c>
      <c r="B300" s="1">
        <v>46251</v>
      </c>
      <c r="C300" t="s">
        <v>867</v>
      </c>
      <c r="D300">
        <v>0.01</v>
      </c>
      <c r="E300" t="s">
        <v>868</v>
      </c>
      <c r="F300" t="s">
        <v>996</v>
      </c>
      <c r="G300" t="s">
        <v>713</v>
      </c>
    </row>
    <row r="301" spans="1:7" x14ac:dyDescent="0.25">
      <c r="A301">
        <v>300</v>
      </c>
      <c r="B301" s="1">
        <v>46251</v>
      </c>
      <c r="C301" t="s">
        <v>413</v>
      </c>
      <c r="D301">
        <v>0.01</v>
      </c>
      <c r="E301" t="s">
        <v>414</v>
      </c>
      <c r="F301" t="s">
        <v>996</v>
      </c>
      <c r="G301" t="s">
        <v>384</v>
      </c>
    </row>
    <row r="302" spans="1:7" x14ac:dyDescent="0.25">
      <c r="A302">
        <v>301</v>
      </c>
      <c r="B302" s="1">
        <v>46251</v>
      </c>
      <c r="C302" t="s">
        <v>869</v>
      </c>
      <c r="D302">
        <v>0.01</v>
      </c>
      <c r="E302" t="s">
        <v>870</v>
      </c>
      <c r="F302" t="s">
        <v>996</v>
      </c>
      <c r="G302" t="s">
        <v>713</v>
      </c>
    </row>
    <row r="303" spans="1:7" x14ac:dyDescent="0.25">
      <c r="A303">
        <v>302</v>
      </c>
      <c r="B303" s="1">
        <v>46251</v>
      </c>
      <c r="C303" t="s">
        <v>871</v>
      </c>
      <c r="D303">
        <v>0.01</v>
      </c>
      <c r="E303" t="s">
        <v>872</v>
      </c>
      <c r="F303" t="s">
        <v>996</v>
      </c>
      <c r="G303" t="s">
        <v>621</v>
      </c>
    </row>
    <row r="304" spans="1:7" x14ac:dyDescent="0.25">
      <c r="A304">
        <v>303</v>
      </c>
      <c r="B304" s="1">
        <v>46251</v>
      </c>
      <c r="C304" t="s">
        <v>356</v>
      </c>
      <c r="D304">
        <v>0.01</v>
      </c>
      <c r="E304" t="s">
        <v>357</v>
      </c>
      <c r="F304" t="s">
        <v>996</v>
      </c>
      <c r="G304" t="s">
        <v>224</v>
      </c>
    </row>
    <row r="305" spans="1:7" x14ac:dyDescent="0.25">
      <c r="A305">
        <v>304</v>
      </c>
      <c r="B305" s="1">
        <v>46251</v>
      </c>
      <c r="C305" t="s">
        <v>873</v>
      </c>
      <c r="D305">
        <v>0.01</v>
      </c>
      <c r="E305" t="s">
        <v>874</v>
      </c>
      <c r="F305" t="s">
        <v>1003</v>
      </c>
      <c r="G305" t="s">
        <v>694</v>
      </c>
    </row>
    <row r="306" spans="1:7" x14ac:dyDescent="0.25">
      <c r="A306">
        <v>305</v>
      </c>
      <c r="B306" s="1">
        <v>46251</v>
      </c>
      <c r="C306" t="s">
        <v>875</v>
      </c>
      <c r="D306">
        <v>0.01</v>
      </c>
      <c r="E306" t="s">
        <v>876</v>
      </c>
      <c r="F306" t="s">
        <v>996</v>
      </c>
      <c r="G306" t="s">
        <v>621</v>
      </c>
    </row>
    <row r="307" spans="1:7" x14ac:dyDescent="0.25">
      <c r="A307">
        <v>306</v>
      </c>
      <c r="B307" s="1">
        <v>46251</v>
      </c>
      <c r="C307" t="s">
        <v>877</v>
      </c>
      <c r="D307">
        <v>0.01</v>
      </c>
      <c r="E307" t="s">
        <v>878</v>
      </c>
      <c r="F307" t="s">
        <v>996</v>
      </c>
      <c r="G307" t="s">
        <v>621</v>
      </c>
    </row>
    <row r="308" spans="1:7" x14ac:dyDescent="0.25">
      <c r="A308">
        <v>307</v>
      </c>
      <c r="B308" s="1">
        <v>46251</v>
      </c>
      <c r="C308" t="s">
        <v>879</v>
      </c>
      <c r="D308">
        <v>0.01</v>
      </c>
      <c r="E308" t="s">
        <v>880</v>
      </c>
      <c r="F308" t="s">
        <v>996</v>
      </c>
      <c r="G308" t="s">
        <v>621</v>
      </c>
    </row>
    <row r="309" spans="1:7" x14ac:dyDescent="0.25">
      <c r="A309">
        <v>308</v>
      </c>
      <c r="B309" s="1">
        <v>46251</v>
      </c>
      <c r="C309" t="s">
        <v>881</v>
      </c>
      <c r="D309">
        <v>0.01</v>
      </c>
      <c r="E309" t="s">
        <v>882</v>
      </c>
      <c r="F309" t="s">
        <v>996</v>
      </c>
      <c r="G309" t="s">
        <v>621</v>
      </c>
    </row>
    <row r="310" spans="1:7" x14ac:dyDescent="0.25">
      <c r="A310">
        <v>309</v>
      </c>
      <c r="B310" s="1">
        <v>46251</v>
      </c>
      <c r="C310" t="s">
        <v>883</v>
      </c>
      <c r="D310">
        <v>0.01</v>
      </c>
      <c r="E310" t="s">
        <v>791</v>
      </c>
      <c r="F310" t="s">
        <v>996</v>
      </c>
      <c r="G310" t="s">
        <v>621</v>
      </c>
    </row>
    <row r="311" spans="1:7" x14ac:dyDescent="0.25">
      <c r="A311">
        <v>310</v>
      </c>
      <c r="B311" s="1">
        <v>46251</v>
      </c>
      <c r="C311" t="s">
        <v>884</v>
      </c>
      <c r="D311">
        <v>0.01</v>
      </c>
      <c r="E311" t="s">
        <v>885</v>
      </c>
      <c r="F311" t="s">
        <v>996</v>
      </c>
      <c r="G311" t="s">
        <v>621</v>
      </c>
    </row>
    <row r="312" spans="1:7" x14ac:dyDescent="0.25">
      <c r="A312">
        <v>311</v>
      </c>
      <c r="B312" s="1">
        <v>46251</v>
      </c>
      <c r="C312" t="s">
        <v>111</v>
      </c>
      <c r="D312">
        <v>0.01</v>
      </c>
      <c r="E312" t="s">
        <v>112</v>
      </c>
      <c r="F312" t="s">
        <v>996</v>
      </c>
      <c r="G312" t="s">
        <v>83</v>
      </c>
    </row>
    <row r="313" spans="1:7" x14ac:dyDescent="0.25">
      <c r="A313">
        <v>312</v>
      </c>
      <c r="B313" s="1">
        <v>46251</v>
      </c>
      <c r="C313" t="s">
        <v>73</v>
      </c>
      <c r="D313">
        <v>0.01</v>
      </c>
      <c r="E313" t="s">
        <v>74</v>
      </c>
      <c r="F313" t="s">
        <v>1000</v>
      </c>
    </row>
    <row r="314" spans="1:7" x14ac:dyDescent="0.25">
      <c r="A314">
        <v>313</v>
      </c>
      <c r="B314" s="1">
        <v>46251</v>
      </c>
      <c r="C314" t="s">
        <v>360</v>
      </c>
      <c r="D314">
        <v>0.01</v>
      </c>
      <c r="E314" t="s">
        <v>361</v>
      </c>
      <c r="F314" t="s">
        <v>996</v>
      </c>
      <c r="G314" t="s">
        <v>224</v>
      </c>
    </row>
    <row r="315" spans="1:7" x14ac:dyDescent="0.25">
      <c r="A315">
        <v>314</v>
      </c>
      <c r="B315" s="1">
        <v>46251</v>
      </c>
      <c r="C315" t="s">
        <v>886</v>
      </c>
      <c r="D315">
        <v>0.01</v>
      </c>
      <c r="E315" t="s">
        <v>887</v>
      </c>
      <c r="F315" t="s">
        <v>996</v>
      </c>
      <c r="G315" t="s">
        <v>621</v>
      </c>
    </row>
    <row r="316" spans="1:7" x14ac:dyDescent="0.25">
      <c r="A316">
        <v>315</v>
      </c>
      <c r="B316" s="1">
        <v>46251</v>
      </c>
      <c r="C316" t="s">
        <v>888</v>
      </c>
      <c r="D316">
        <v>0.01</v>
      </c>
      <c r="E316" t="s">
        <v>889</v>
      </c>
      <c r="F316" t="s">
        <v>996</v>
      </c>
      <c r="G316" t="s">
        <v>487</v>
      </c>
    </row>
    <row r="317" spans="1:7" x14ac:dyDescent="0.25">
      <c r="A317">
        <v>316</v>
      </c>
      <c r="B317" s="1">
        <v>46251</v>
      </c>
      <c r="C317" t="s">
        <v>890</v>
      </c>
      <c r="D317">
        <v>0.01</v>
      </c>
      <c r="E317" t="s">
        <v>891</v>
      </c>
      <c r="F317" t="s">
        <v>1000</v>
      </c>
      <c r="G317" t="s">
        <v>621</v>
      </c>
    </row>
    <row r="318" spans="1:7" x14ac:dyDescent="0.25">
      <c r="A318">
        <v>317</v>
      </c>
      <c r="B318" s="1">
        <v>46251</v>
      </c>
      <c r="C318" t="s">
        <v>507</v>
      </c>
      <c r="D318">
        <v>0.01</v>
      </c>
      <c r="E318" t="s">
        <v>504</v>
      </c>
      <c r="F318" t="s">
        <v>996</v>
      </c>
      <c r="G318" t="s">
        <v>504</v>
      </c>
    </row>
    <row r="319" spans="1:7" x14ac:dyDescent="0.25">
      <c r="A319">
        <v>318</v>
      </c>
      <c r="B319" s="1">
        <v>46251</v>
      </c>
      <c r="C319" t="s">
        <v>517</v>
      </c>
      <c r="D319">
        <v>0.01</v>
      </c>
      <c r="E319" t="s">
        <v>518</v>
      </c>
      <c r="F319" t="s">
        <v>1011</v>
      </c>
      <c r="G319" t="s">
        <v>504</v>
      </c>
    </row>
    <row r="320" spans="1:7" x14ac:dyDescent="0.25">
      <c r="A320">
        <v>319</v>
      </c>
      <c r="B320" s="1">
        <v>46251</v>
      </c>
      <c r="C320" t="s">
        <v>892</v>
      </c>
      <c r="D320">
        <v>0.01</v>
      </c>
      <c r="E320" t="s">
        <v>893</v>
      </c>
      <c r="F320" t="s">
        <v>1007</v>
      </c>
      <c r="G320" t="s">
        <v>651</v>
      </c>
    </row>
    <row r="321" spans="1:7" x14ac:dyDescent="0.25">
      <c r="A321">
        <v>320</v>
      </c>
      <c r="B321" s="1">
        <v>46251</v>
      </c>
      <c r="C321" t="s">
        <v>496</v>
      </c>
      <c r="D321">
        <v>0.01</v>
      </c>
      <c r="E321" t="s">
        <v>497</v>
      </c>
      <c r="F321" t="s">
        <v>1015</v>
      </c>
      <c r="G321" t="s">
        <v>487</v>
      </c>
    </row>
    <row r="322" spans="1:7" x14ac:dyDescent="0.25">
      <c r="A322">
        <v>321</v>
      </c>
      <c r="B322" s="1">
        <v>46251</v>
      </c>
      <c r="C322" t="s">
        <v>894</v>
      </c>
      <c r="D322">
        <v>0.01</v>
      </c>
      <c r="E322" t="s">
        <v>895</v>
      </c>
      <c r="F322" t="s">
        <v>996</v>
      </c>
      <c r="G322" t="s">
        <v>224</v>
      </c>
    </row>
    <row r="323" spans="1:7" x14ac:dyDescent="0.25">
      <c r="A323">
        <v>322</v>
      </c>
      <c r="B323" s="1">
        <v>46251</v>
      </c>
      <c r="C323" t="s">
        <v>532</v>
      </c>
      <c r="D323">
        <v>0.01</v>
      </c>
      <c r="E323" t="s">
        <v>533</v>
      </c>
      <c r="F323" t="s">
        <v>1001</v>
      </c>
      <c r="G323" t="s">
        <v>533</v>
      </c>
    </row>
    <row r="324" spans="1:7" x14ac:dyDescent="0.25">
      <c r="A324">
        <v>323</v>
      </c>
      <c r="B324" s="1">
        <v>46251</v>
      </c>
      <c r="C324" t="s">
        <v>896</v>
      </c>
      <c r="D324">
        <v>0.01</v>
      </c>
      <c r="E324" t="s">
        <v>897</v>
      </c>
      <c r="F324" t="s">
        <v>996</v>
      </c>
      <c r="G324" t="s">
        <v>224</v>
      </c>
    </row>
    <row r="325" spans="1:7" x14ac:dyDescent="0.25">
      <c r="A325">
        <v>324</v>
      </c>
      <c r="B325" s="1">
        <v>46251</v>
      </c>
      <c r="C325" t="s">
        <v>898</v>
      </c>
      <c r="D325">
        <v>0.01</v>
      </c>
      <c r="E325" t="s">
        <v>899</v>
      </c>
      <c r="F325" t="s">
        <v>996</v>
      </c>
      <c r="G325" t="s">
        <v>621</v>
      </c>
    </row>
    <row r="326" spans="1:7" x14ac:dyDescent="0.25">
      <c r="A326">
        <v>325</v>
      </c>
      <c r="B326" s="1">
        <v>46251</v>
      </c>
      <c r="C326" t="s">
        <v>65</v>
      </c>
      <c r="D326">
        <v>0.01</v>
      </c>
      <c r="E326" t="s">
        <v>66</v>
      </c>
      <c r="F326" t="s">
        <v>1000</v>
      </c>
    </row>
    <row r="327" spans="1:7" x14ac:dyDescent="0.25">
      <c r="A327">
        <v>326</v>
      </c>
      <c r="B327" s="1">
        <v>46251</v>
      </c>
      <c r="C327" t="s">
        <v>107</v>
      </c>
      <c r="D327">
        <v>0.01</v>
      </c>
      <c r="E327" t="s">
        <v>108</v>
      </c>
      <c r="F327" t="s">
        <v>996</v>
      </c>
      <c r="G327" t="s">
        <v>83</v>
      </c>
    </row>
    <row r="328" spans="1:7" x14ac:dyDescent="0.25">
      <c r="A328">
        <v>327</v>
      </c>
      <c r="B328" s="1">
        <v>46251</v>
      </c>
      <c r="C328" t="s">
        <v>263</v>
      </c>
      <c r="D328">
        <v>0.01</v>
      </c>
      <c r="E328" t="s">
        <v>264</v>
      </c>
      <c r="F328" t="s">
        <v>1002</v>
      </c>
      <c r="G328" t="s">
        <v>224</v>
      </c>
    </row>
    <row r="329" spans="1:7" x14ac:dyDescent="0.25">
      <c r="A329">
        <v>328</v>
      </c>
      <c r="B329" s="1">
        <v>46251</v>
      </c>
      <c r="C329" t="s">
        <v>407</v>
      </c>
      <c r="D329">
        <v>0.01</v>
      </c>
      <c r="E329" t="s">
        <v>408</v>
      </c>
      <c r="F329" t="s">
        <v>996</v>
      </c>
      <c r="G329" t="s">
        <v>384</v>
      </c>
    </row>
    <row r="330" spans="1:7" x14ac:dyDescent="0.25">
      <c r="A330">
        <v>329</v>
      </c>
      <c r="B330" s="1">
        <v>46251</v>
      </c>
      <c r="C330" t="s">
        <v>511</v>
      </c>
      <c r="D330">
        <v>0.01</v>
      </c>
      <c r="E330" t="s">
        <v>512</v>
      </c>
      <c r="F330" t="s">
        <v>996</v>
      </c>
      <c r="G330" t="s">
        <v>504</v>
      </c>
    </row>
    <row r="331" spans="1:7" x14ac:dyDescent="0.25">
      <c r="A331">
        <v>330</v>
      </c>
      <c r="B331" s="1">
        <v>46251</v>
      </c>
      <c r="C331" t="s">
        <v>109</v>
      </c>
      <c r="D331">
        <v>0.01</v>
      </c>
      <c r="E331" t="s">
        <v>110</v>
      </c>
      <c r="F331" t="s">
        <v>996</v>
      </c>
      <c r="G331" t="s">
        <v>83</v>
      </c>
    </row>
    <row r="332" spans="1:7" x14ac:dyDescent="0.25">
      <c r="A332">
        <v>331</v>
      </c>
      <c r="B332" s="1">
        <v>46251</v>
      </c>
      <c r="C332" t="s">
        <v>71</v>
      </c>
      <c r="D332">
        <v>0.01</v>
      </c>
      <c r="E332" t="s">
        <v>72</v>
      </c>
      <c r="F332" t="s">
        <v>996</v>
      </c>
    </row>
    <row r="333" spans="1:7" x14ac:dyDescent="0.25">
      <c r="A333">
        <v>332</v>
      </c>
      <c r="B333" s="1">
        <v>46251</v>
      </c>
      <c r="C333" t="s">
        <v>900</v>
      </c>
      <c r="D333">
        <v>0.01</v>
      </c>
      <c r="E333" t="s">
        <v>901</v>
      </c>
      <c r="F333" t="s">
        <v>996</v>
      </c>
      <c r="G333" t="s">
        <v>540</v>
      </c>
    </row>
    <row r="334" spans="1:7" x14ac:dyDescent="0.25">
      <c r="A334">
        <v>333</v>
      </c>
      <c r="B334" s="1">
        <v>46251</v>
      </c>
      <c r="C334" t="s">
        <v>270</v>
      </c>
      <c r="D334">
        <v>0.01</v>
      </c>
      <c r="E334" t="s">
        <v>271</v>
      </c>
      <c r="F334" t="s">
        <v>996</v>
      </c>
      <c r="G334" t="s">
        <v>224</v>
      </c>
    </row>
    <row r="335" spans="1:7" x14ac:dyDescent="0.25">
      <c r="A335">
        <v>334</v>
      </c>
      <c r="B335" s="1">
        <v>46251</v>
      </c>
      <c r="C335" t="s">
        <v>902</v>
      </c>
      <c r="D335">
        <v>0.01</v>
      </c>
      <c r="E335" t="s">
        <v>903</v>
      </c>
      <c r="F335" t="s">
        <v>996</v>
      </c>
      <c r="G335" t="s">
        <v>621</v>
      </c>
    </row>
    <row r="336" spans="1:7" x14ac:dyDescent="0.25">
      <c r="A336">
        <v>335</v>
      </c>
      <c r="B336" s="1">
        <v>46251</v>
      </c>
      <c r="C336" t="s">
        <v>289</v>
      </c>
      <c r="D336">
        <v>0.01</v>
      </c>
      <c r="E336" t="s">
        <v>290</v>
      </c>
      <c r="F336" t="s">
        <v>996</v>
      </c>
      <c r="G336" t="s">
        <v>224</v>
      </c>
    </row>
    <row r="337" spans="1:7" x14ac:dyDescent="0.25">
      <c r="A337">
        <v>336</v>
      </c>
      <c r="B337" s="1">
        <v>46251</v>
      </c>
      <c r="C337" t="s">
        <v>214</v>
      </c>
      <c r="D337">
        <v>0.01</v>
      </c>
      <c r="E337" t="s">
        <v>215</v>
      </c>
      <c r="F337" t="s">
        <v>996</v>
      </c>
      <c r="G337" t="s">
        <v>162</v>
      </c>
    </row>
    <row r="338" spans="1:7" x14ac:dyDescent="0.25">
      <c r="A338">
        <v>337</v>
      </c>
      <c r="B338" s="1">
        <v>46251</v>
      </c>
      <c r="C338" t="s">
        <v>105</v>
      </c>
      <c r="D338">
        <v>0.01</v>
      </c>
      <c r="E338" t="s">
        <v>106</v>
      </c>
      <c r="F338" t="s">
        <v>996</v>
      </c>
      <c r="G338" t="s">
        <v>83</v>
      </c>
    </row>
    <row r="339" spans="1:7" x14ac:dyDescent="0.25">
      <c r="A339">
        <v>338</v>
      </c>
      <c r="B339" s="1">
        <v>46251</v>
      </c>
      <c r="C339" t="s">
        <v>448</v>
      </c>
      <c r="D339">
        <v>0.01</v>
      </c>
      <c r="E339" t="s">
        <v>449</v>
      </c>
      <c r="F339" t="s">
        <v>1000</v>
      </c>
      <c r="G339" t="s">
        <v>421</v>
      </c>
    </row>
    <row r="340" spans="1:7" x14ac:dyDescent="0.25">
      <c r="A340">
        <v>339</v>
      </c>
      <c r="B340" s="1">
        <v>46251</v>
      </c>
      <c r="C340" t="s">
        <v>904</v>
      </c>
      <c r="D340">
        <v>0.01</v>
      </c>
      <c r="E340" t="s">
        <v>905</v>
      </c>
      <c r="F340" t="s">
        <v>996</v>
      </c>
      <c r="G340" t="s">
        <v>621</v>
      </c>
    </row>
    <row r="341" spans="1:7" x14ac:dyDescent="0.25">
      <c r="A341">
        <v>340</v>
      </c>
      <c r="B341" s="1">
        <v>46251</v>
      </c>
      <c r="C341" t="s">
        <v>61</v>
      </c>
      <c r="D341">
        <v>0.01</v>
      </c>
      <c r="E341" t="s">
        <v>62</v>
      </c>
      <c r="F341" t="s">
        <v>1011</v>
      </c>
    </row>
    <row r="342" spans="1:7" x14ac:dyDescent="0.25">
      <c r="A342">
        <v>341</v>
      </c>
      <c r="B342" s="1">
        <v>46251</v>
      </c>
      <c r="C342" t="s">
        <v>906</v>
      </c>
      <c r="D342">
        <v>0.01</v>
      </c>
      <c r="E342" t="s">
        <v>907</v>
      </c>
      <c r="F342" t="s">
        <v>996</v>
      </c>
      <c r="G342" t="s">
        <v>224</v>
      </c>
    </row>
    <row r="343" spans="1:7" x14ac:dyDescent="0.25">
      <c r="A343">
        <v>342</v>
      </c>
      <c r="B343" s="1">
        <v>46251</v>
      </c>
      <c r="C343" t="s">
        <v>481</v>
      </c>
      <c r="D343">
        <v>0.01</v>
      </c>
      <c r="E343" t="s">
        <v>482</v>
      </c>
      <c r="F343" t="s">
        <v>996</v>
      </c>
      <c r="G343" t="s">
        <v>474</v>
      </c>
    </row>
    <row r="344" spans="1:7" x14ac:dyDescent="0.25">
      <c r="A344">
        <v>343</v>
      </c>
      <c r="B344" s="1">
        <v>46251</v>
      </c>
      <c r="C344" t="s">
        <v>23</v>
      </c>
      <c r="D344">
        <v>0.01</v>
      </c>
      <c r="E344" t="s">
        <v>24</v>
      </c>
      <c r="F344" t="s">
        <v>996</v>
      </c>
    </row>
    <row r="345" spans="1:7" x14ac:dyDescent="0.25">
      <c r="A345">
        <v>344</v>
      </c>
      <c r="B345" s="1">
        <v>46251</v>
      </c>
      <c r="C345" t="s">
        <v>55</v>
      </c>
      <c r="D345">
        <v>0.01</v>
      </c>
      <c r="E345" t="s">
        <v>56</v>
      </c>
      <c r="F345" t="s">
        <v>996</v>
      </c>
    </row>
    <row r="346" spans="1:7" x14ac:dyDescent="0.25">
      <c r="A346">
        <v>345</v>
      </c>
      <c r="B346" s="1">
        <v>46251</v>
      </c>
      <c r="C346" t="s">
        <v>117</v>
      </c>
      <c r="D346">
        <v>0.01</v>
      </c>
      <c r="E346" t="s">
        <v>118</v>
      </c>
      <c r="F346" t="s">
        <v>996</v>
      </c>
      <c r="G346" t="s">
        <v>83</v>
      </c>
    </row>
    <row r="347" spans="1:7" x14ac:dyDescent="0.25">
      <c r="A347">
        <v>346</v>
      </c>
      <c r="B347" s="1">
        <v>46251</v>
      </c>
      <c r="C347" t="s">
        <v>498</v>
      </c>
      <c r="D347">
        <v>0.01</v>
      </c>
      <c r="E347" t="s">
        <v>499</v>
      </c>
      <c r="F347" t="s">
        <v>1011</v>
      </c>
      <c r="G347" t="s">
        <v>487</v>
      </c>
    </row>
    <row r="348" spans="1:7" x14ac:dyDescent="0.25">
      <c r="A348">
        <v>347</v>
      </c>
      <c r="B348" s="1">
        <v>46251</v>
      </c>
      <c r="C348" t="s">
        <v>327</v>
      </c>
      <c r="D348">
        <v>0.01</v>
      </c>
      <c r="E348" t="s">
        <v>328</v>
      </c>
      <c r="F348" t="s">
        <v>996</v>
      </c>
      <c r="G348" t="s">
        <v>224</v>
      </c>
    </row>
    <row r="349" spans="1:7" x14ac:dyDescent="0.25">
      <c r="A349">
        <v>348</v>
      </c>
      <c r="B349" s="1">
        <v>46251</v>
      </c>
      <c r="C349" t="s">
        <v>235</v>
      </c>
      <c r="D349">
        <v>0.01</v>
      </c>
      <c r="E349" t="s">
        <v>236</v>
      </c>
      <c r="F349" t="s">
        <v>996</v>
      </c>
      <c r="G349" t="s">
        <v>224</v>
      </c>
    </row>
    <row r="350" spans="1:7" x14ac:dyDescent="0.25">
      <c r="A350">
        <v>349</v>
      </c>
      <c r="B350" s="1">
        <v>46251</v>
      </c>
      <c r="C350" t="s">
        <v>39</v>
      </c>
      <c r="D350">
        <v>0.01</v>
      </c>
      <c r="E350" t="s">
        <v>40</v>
      </c>
      <c r="F350" t="s">
        <v>996</v>
      </c>
    </row>
    <row r="351" spans="1:7" x14ac:dyDescent="0.25">
      <c r="A351">
        <v>350</v>
      </c>
      <c r="B351" s="1">
        <v>46251</v>
      </c>
      <c r="C351" t="s">
        <v>549</v>
      </c>
      <c r="D351">
        <v>0.01</v>
      </c>
      <c r="E351" t="s">
        <v>550</v>
      </c>
      <c r="F351" t="s">
        <v>1011</v>
      </c>
      <c r="G351" t="s">
        <v>621</v>
      </c>
    </row>
    <row r="352" spans="1:7" x14ac:dyDescent="0.25">
      <c r="A352">
        <v>351</v>
      </c>
      <c r="B352" s="1">
        <v>46251</v>
      </c>
      <c r="C352" t="s">
        <v>216</v>
      </c>
      <c r="D352">
        <v>0.01</v>
      </c>
      <c r="E352" t="s">
        <v>217</v>
      </c>
      <c r="F352" t="s">
        <v>996</v>
      </c>
      <c r="G352" t="s">
        <v>162</v>
      </c>
    </row>
    <row r="353" spans="1:7" x14ac:dyDescent="0.25">
      <c r="A353">
        <v>352</v>
      </c>
      <c r="B353" s="1">
        <v>46251</v>
      </c>
      <c r="C353" t="s">
        <v>364</v>
      </c>
      <c r="D353">
        <v>0.01</v>
      </c>
      <c r="E353" t="s">
        <v>365</v>
      </c>
      <c r="F353" t="s">
        <v>1002</v>
      </c>
      <c r="G353" t="s">
        <v>224</v>
      </c>
    </row>
    <row r="354" spans="1:7" x14ac:dyDescent="0.25">
      <c r="A354">
        <v>353</v>
      </c>
      <c r="B354" s="1">
        <v>46251</v>
      </c>
      <c r="C354" t="s">
        <v>57</v>
      </c>
      <c r="D354">
        <v>0.01</v>
      </c>
      <c r="E354" t="s">
        <v>58</v>
      </c>
      <c r="F354" t="s">
        <v>996</v>
      </c>
    </row>
    <row r="355" spans="1:7" x14ac:dyDescent="0.25">
      <c r="A355">
        <v>354</v>
      </c>
      <c r="B355" s="1">
        <v>46251</v>
      </c>
      <c r="C355" t="s">
        <v>908</v>
      </c>
      <c r="D355">
        <v>0.01</v>
      </c>
      <c r="E355" t="s">
        <v>909</v>
      </c>
      <c r="F355" t="s">
        <v>1017</v>
      </c>
      <c r="G355" t="s">
        <v>694</v>
      </c>
    </row>
    <row r="356" spans="1:7" x14ac:dyDescent="0.25">
      <c r="A356">
        <v>355</v>
      </c>
      <c r="B356" s="1">
        <v>46251</v>
      </c>
      <c r="C356" t="s">
        <v>483</v>
      </c>
      <c r="D356">
        <v>0.01</v>
      </c>
      <c r="E356" t="s">
        <v>484</v>
      </c>
      <c r="F356" t="s">
        <v>996</v>
      </c>
      <c r="G356" t="s">
        <v>474</v>
      </c>
    </row>
    <row r="357" spans="1:7" x14ac:dyDescent="0.25">
      <c r="A357">
        <v>356</v>
      </c>
      <c r="B357" s="1">
        <v>46251</v>
      </c>
      <c r="C357" t="s">
        <v>910</v>
      </c>
      <c r="D357">
        <v>0.01</v>
      </c>
      <c r="E357" t="s">
        <v>911</v>
      </c>
      <c r="F357" t="s">
        <v>996</v>
      </c>
      <c r="G357" t="s">
        <v>621</v>
      </c>
    </row>
    <row r="358" spans="1:7" x14ac:dyDescent="0.25">
      <c r="A358">
        <v>357</v>
      </c>
      <c r="B358" s="1">
        <v>46251</v>
      </c>
      <c r="C358" t="s">
        <v>912</v>
      </c>
      <c r="D358">
        <v>0.01</v>
      </c>
      <c r="E358" t="s">
        <v>913</v>
      </c>
      <c r="F358" t="s">
        <v>996</v>
      </c>
      <c r="G358" t="s">
        <v>621</v>
      </c>
    </row>
    <row r="359" spans="1:7" x14ac:dyDescent="0.25">
      <c r="A359">
        <v>358</v>
      </c>
      <c r="B359" s="1">
        <v>46251</v>
      </c>
      <c r="C359" t="s">
        <v>218</v>
      </c>
      <c r="D359">
        <v>0.01</v>
      </c>
      <c r="E359" t="s">
        <v>219</v>
      </c>
      <c r="F359" t="s">
        <v>996</v>
      </c>
      <c r="G359" t="s">
        <v>162</v>
      </c>
    </row>
    <row r="360" spans="1:7" x14ac:dyDescent="0.25">
      <c r="A360">
        <v>359</v>
      </c>
      <c r="B360" s="1">
        <v>46251</v>
      </c>
      <c r="C360" t="s">
        <v>272</v>
      </c>
      <c r="D360">
        <v>0.01</v>
      </c>
      <c r="E360" t="s">
        <v>273</v>
      </c>
      <c r="F360" t="s">
        <v>996</v>
      </c>
      <c r="G360" t="s">
        <v>224</v>
      </c>
    </row>
    <row r="361" spans="1:7" x14ac:dyDescent="0.25">
      <c r="A361">
        <v>360</v>
      </c>
      <c r="B361" s="1">
        <v>46251</v>
      </c>
      <c r="C361" t="s">
        <v>914</v>
      </c>
      <c r="D361">
        <v>0.01</v>
      </c>
      <c r="E361" t="s">
        <v>915</v>
      </c>
      <c r="F361" t="s">
        <v>996</v>
      </c>
      <c r="G361" t="s">
        <v>621</v>
      </c>
    </row>
    <row r="362" spans="1:7" x14ac:dyDescent="0.25">
      <c r="A362">
        <v>361</v>
      </c>
      <c r="B362" s="1">
        <v>46251</v>
      </c>
      <c r="C362" t="s">
        <v>331</v>
      </c>
      <c r="D362">
        <v>0.01</v>
      </c>
      <c r="E362" t="s">
        <v>332</v>
      </c>
      <c r="F362" t="s">
        <v>996</v>
      </c>
      <c r="G362" t="s">
        <v>224</v>
      </c>
    </row>
    <row r="363" spans="1:7" x14ac:dyDescent="0.25">
      <c r="A363">
        <v>362</v>
      </c>
      <c r="B363" s="1">
        <v>46251</v>
      </c>
      <c r="C363" t="s">
        <v>450</v>
      </c>
      <c r="D363">
        <v>0.01</v>
      </c>
      <c r="E363" t="s">
        <v>451</v>
      </c>
      <c r="F363" t="s">
        <v>996</v>
      </c>
      <c r="G363" t="s">
        <v>421</v>
      </c>
    </row>
    <row r="364" spans="1:7" x14ac:dyDescent="0.25">
      <c r="A364">
        <v>363</v>
      </c>
      <c r="B364" s="1">
        <v>46251</v>
      </c>
      <c r="C364" t="s">
        <v>916</v>
      </c>
      <c r="D364">
        <v>0.01</v>
      </c>
      <c r="E364" t="s">
        <v>917</v>
      </c>
      <c r="F364" t="s">
        <v>996</v>
      </c>
      <c r="G364" t="s">
        <v>621</v>
      </c>
    </row>
    <row r="365" spans="1:7" x14ac:dyDescent="0.25">
      <c r="A365">
        <v>364</v>
      </c>
      <c r="B365" s="1">
        <v>46251</v>
      </c>
      <c r="C365" t="s">
        <v>536</v>
      </c>
      <c r="D365">
        <v>0.01</v>
      </c>
      <c r="E365" t="s">
        <v>537</v>
      </c>
      <c r="F365" t="s">
        <v>1016</v>
      </c>
      <c r="G365" t="s">
        <v>533</v>
      </c>
    </row>
    <row r="366" spans="1:7" x14ac:dyDescent="0.25">
      <c r="A366">
        <v>365</v>
      </c>
      <c r="B366" s="1">
        <v>46251</v>
      </c>
      <c r="C366" t="s">
        <v>372</v>
      </c>
      <c r="D366">
        <v>0.01</v>
      </c>
      <c r="E366" t="s">
        <v>373</v>
      </c>
      <c r="F366" t="s">
        <v>1016</v>
      </c>
      <c r="G366" t="s">
        <v>224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9DD25BC-E09D-4BCF-8105-4B89AE0C04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DS Khach hang PBSV</vt:lpstr>
      <vt:lpstr>DS Khách hàng JB</vt:lpstr>
      <vt:lpstr>Tổng hợp</vt:lpstr>
      <vt:lpstr>DEAL (2)</vt:lpstr>
      <vt:lpstr>RETAIL (2)</vt:lpstr>
      <vt:lpstr>Table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Khoa Do</dc:creator>
  <cp:lastModifiedBy>Minh Khoa Do</cp:lastModifiedBy>
  <dcterms:created xsi:type="dcterms:W3CDTF">2026-08-10T02:05:44Z</dcterms:created>
  <dcterms:modified xsi:type="dcterms:W3CDTF">2026-08-18T08:58:38Z</dcterms:modified>
</cp:coreProperties>
</file>